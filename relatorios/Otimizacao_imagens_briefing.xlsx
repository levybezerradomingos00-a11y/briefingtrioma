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Arquivos" sheetId="2" state="visible" r:id="rId4"/>
    <sheet name="Carregamento por etapa" sheetId="3" state="visible" r:id="rId5"/>
    <sheet name="Rede lenta e teste" sheetId="4" state="visible" r:id="rId6"/>
  </sheets>
  <definedNames>
    <definedName function="false" hidden="true" localSheetId="1" name="_xlnm._FilterDatabase" vbProcedure="false">Arquivos!$A$1:$J$359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<sst xmlns="http://schemas.openxmlformats.org/spreadsheetml/2006/main" count="1175" uniqueCount="456">
  <si>
    <t xml:space="preserve">Imagens do briefing em WebP</t>
  </si>
  <si>
    <t xml:space="preserve">Limite por arquivo (bytes)</t>
  </si>
  <si>
    <t xml:space="preserve">Pedido do escritório: no máximo 100.000 bytes por imagem.</t>
  </si>
  <si>
    <t xml:space="preserve">Pasta</t>
  </si>
  <si>
    <t xml:space="preserve">Ambiente</t>
  </si>
  <si>
    <t xml:space="preserve">Arquivos</t>
  </si>
  <si>
    <t xml:space="preserve">Total WebP (bytes)</t>
  </si>
  <si>
    <t xml:space="preserve">Total JPG original (bytes)</t>
  </si>
  <si>
    <t xml:space="preserve">Redução</t>
  </si>
  <si>
    <t xml:space="preserve">Maior arquivo (bytes)</t>
  </si>
  <si>
    <t xml:space="preserve">Arquivos acima do limite</t>
  </si>
  <si>
    <t xml:space="preserve">banheiro</t>
  </si>
  <si>
    <t xml:space="preserve">Banheiros da casa</t>
  </si>
  <si>
    <t xml:space="preserve">banho_master</t>
  </si>
  <si>
    <t xml:space="preserve">Banheiro master</t>
  </si>
  <si>
    <t xml:space="preserve">capas</t>
  </si>
  <si>
    <t xml:space="preserve">Capas</t>
  </si>
  <si>
    <t xml:space="preserve">cinema</t>
  </si>
  <si>
    <t xml:space="preserve">Cinema</t>
  </si>
  <si>
    <t xml:space="preserve">closet</t>
  </si>
  <si>
    <t xml:space="preserve">Closet master</t>
  </si>
  <si>
    <t xml:space="preserve">closet_suite</t>
  </si>
  <si>
    <t xml:space="preserve">Closet suíte</t>
  </si>
  <si>
    <t xml:space="preserve">cozinha</t>
  </si>
  <si>
    <t xml:space="preserve">Cozinha</t>
  </si>
  <si>
    <t xml:space="preserve">gourmet</t>
  </si>
  <si>
    <t xml:space="preserve">Varanda gourmet</t>
  </si>
  <si>
    <t xml:space="preserve">hospedes</t>
  </si>
  <si>
    <t xml:space="preserve">Suíte de hóspedes</t>
  </si>
  <si>
    <t xml:space="preserve">lavabo_externo</t>
  </si>
  <si>
    <t xml:space="preserve">Lavabo externo</t>
  </si>
  <si>
    <t xml:space="preserve">lavabo_interno</t>
  </si>
  <si>
    <t xml:space="preserve">Lavabo interno</t>
  </si>
  <si>
    <t xml:space="preserve">master</t>
  </si>
  <si>
    <t xml:space="preserve">Suíte master</t>
  </si>
  <si>
    <t xml:space="preserve">opcoes</t>
  </si>
  <si>
    <t xml:space="preserve">Ilustrações das perguntas</t>
  </si>
  <si>
    <t xml:space="preserve">quarto</t>
  </si>
  <si>
    <t xml:space="preserve">Quarto</t>
  </si>
  <si>
    <t xml:space="preserve">quarto_teen</t>
  </si>
  <si>
    <t xml:space="preserve">Quarto filha adolescente</t>
  </si>
  <si>
    <t xml:space="preserve">quarto_teen_m</t>
  </si>
  <si>
    <t xml:space="preserve">Quarto filho adolescente</t>
  </si>
  <si>
    <t xml:space="preserve">sala</t>
  </si>
  <si>
    <t xml:space="preserve">Sala</t>
  </si>
  <si>
    <t xml:space="preserve">Total</t>
  </si>
  <si>
    <t xml:space="preserve">Notas</t>
  </si>
  <si>
    <t xml:space="preserve">24 fotos muito detalhadas foram reduzidas de tamanho (mesma proporção) para caber no limite; o menor lado maior ficou entre 760 e 920 px. Nenhuma ficou abaixo da qualidade 64.</t>
  </si>
  <si>
    <t xml:space="preserve">Os JPG originais continuam guardados (pasta IMAGENS BRIEFING e ZIPs do projeto). O site publicado usa só WebP.</t>
  </si>
  <si>
    <t xml:space="preserve">Pesos medidos nos arquivos gerados; conferidos também na versão publicada (maior: 96.868 bytes).</t>
  </si>
  <si>
    <t xml:space="preserve">Arquivo</t>
  </si>
  <si>
    <t xml:space="preserve">JPG original (bytes)</t>
  </si>
  <si>
    <t xml:space="preserve">WebP (bytes)</t>
  </si>
  <si>
    <t xml:space="preserve">Qualidade WebP</t>
  </si>
  <si>
    <t xml:space="preserve">Largura (px)</t>
  </si>
  <si>
    <t xml:space="preserve">Altura (px)</t>
  </si>
  <si>
    <t xml:space="preserve">Dentro de 100.000 bytes?</t>
  </si>
  <si>
    <t xml:space="preserve">banheiro/01.webp</t>
  </si>
  <si>
    <t xml:space="preserve">banheiro/02.webp</t>
  </si>
  <si>
    <t xml:space="preserve">banheiro/03.webp</t>
  </si>
  <si>
    <t xml:space="preserve">banheiro/04.webp</t>
  </si>
  <si>
    <t xml:space="preserve">banheiro/05.webp</t>
  </si>
  <si>
    <t xml:space="preserve">banheiro/06.webp</t>
  </si>
  <si>
    <t xml:space="preserve">banheiro/07.webp</t>
  </si>
  <si>
    <t xml:space="preserve">banheiro/08.webp</t>
  </si>
  <si>
    <t xml:space="preserve">banheiro/09.webp</t>
  </si>
  <si>
    <t xml:space="preserve">banheiro/10.webp</t>
  </si>
  <si>
    <t xml:space="preserve">banheiro/11.webp</t>
  </si>
  <si>
    <t xml:space="preserve">banheiro/12.webp</t>
  </si>
  <si>
    <t xml:space="preserve">banheiro/13.webp</t>
  </si>
  <si>
    <t xml:space="preserve">banheiro/14.webp</t>
  </si>
  <si>
    <t xml:space="preserve">banheiro/15.webp</t>
  </si>
  <si>
    <t xml:space="preserve">banheiro/16.webp</t>
  </si>
  <si>
    <t xml:space="preserve">banheiro/17.webp</t>
  </si>
  <si>
    <t xml:space="preserve">banheiro/18.webp</t>
  </si>
  <si>
    <t xml:space="preserve">banheiro/19.webp</t>
  </si>
  <si>
    <t xml:space="preserve">banheiro/20.webp</t>
  </si>
  <si>
    <t xml:space="preserve">banho_master/01.webp</t>
  </si>
  <si>
    <t xml:space="preserve">banho_master/02.webp</t>
  </si>
  <si>
    <t xml:space="preserve">banho_master/03.webp</t>
  </si>
  <si>
    <t xml:space="preserve">banho_master/04.webp</t>
  </si>
  <si>
    <t xml:space="preserve">banho_master/05.webp</t>
  </si>
  <si>
    <t xml:space="preserve">banho_master/06.webp</t>
  </si>
  <si>
    <t xml:space="preserve">banho_master/07.webp</t>
  </si>
  <si>
    <t xml:space="preserve">banho_master/08.webp</t>
  </si>
  <si>
    <t xml:space="preserve">banho_master/09.webp</t>
  </si>
  <si>
    <t xml:space="preserve">banho_master/10.webp</t>
  </si>
  <si>
    <t xml:space="preserve">banho_master/11.webp</t>
  </si>
  <si>
    <t xml:space="preserve">banho_master/12.webp</t>
  </si>
  <si>
    <t xml:space="preserve">banho_master/13.webp</t>
  </si>
  <si>
    <t xml:space="preserve">banho_master/14.webp</t>
  </si>
  <si>
    <t xml:space="preserve">banho_master/15.webp</t>
  </si>
  <si>
    <t xml:space="preserve">banho_master/16.webp</t>
  </si>
  <si>
    <t xml:space="preserve">banho_master/17.webp</t>
  </si>
  <si>
    <t xml:space="preserve">banho_master/18.webp</t>
  </si>
  <si>
    <t xml:space="preserve">banho_master/19.webp</t>
  </si>
  <si>
    <t xml:space="preserve">banho_master/20.webp</t>
  </si>
  <si>
    <t xml:space="preserve">banho_master/21.webp</t>
  </si>
  <si>
    <t xml:space="preserve">banho_master/22.webp</t>
  </si>
  <si>
    <t xml:space="preserve">banho_master/23.webp</t>
  </si>
  <si>
    <t xml:space="preserve">banho_master/24.webp</t>
  </si>
  <si>
    <t xml:space="preserve">capas/banheiro.webp</t>
  </si>
  <si>
    <t xml:space="preserve">capas/banho_master.webp</t>
  </si>
  <si>
    <t xml:space="preserve">capas/cinema.webp</t>
  </si>
  <si>
    <t xml:space="preserve">capas/closet.webp</t>
  </si>
  <si>
    <t xml:space="preserve">capas/cozinha.webp</t>
  </si>
  <si>
    <t xml:space="preserve">capas/geral.webp</t>
  </si>
  <si>
    <t xml:space="preserve">capas/gourmet.webp</t>
  </si>
  <si>
    <t xml:space="preserve">capas/hall.webp</t>
  </si>
  <si>
    <t xml:space="preserve">capas/hospedes.webp</t>
  </si>
  <si>
    <t xml:space="preserve">capas/lavabo_externo.webp</t>
  </si>
  <si>
    <t xml:space="preserve">capas/lavabo_interno.webp</t>
  </si>
  <si>
    <t xml:space="preserve">capas/master.webp</t>
  </si>
  <si>
    <t xml:space="preserve">capas/quarto.webp</t>
  </si>
  <si>
    <t xml:space="preserve">capas/quarto_teen.webp</t>
  </si>
  <si>
    <t xml:space="preserve">capas/quarto_teen_m.webp</t>
  </si>
  <si>
    <t xml:space="preserve">capas/sala.webp</t>
  </si>
  <si>
    <t xml:space="preserve">capas/servico.webp</t>
  </si>
  <si>
    <t xml:space="preserve">cinema/01.webp</t>
  </si>
  <si>
    <t xml:space="preserve">cinema/02.webp</t>
  </si>
  <si>
    <t xml:space="preserve">cinema/03.webp</t>
  </si>
  <si>
    <t xml:space="preserve">cinema/04.webp</t>
  </si>
  <si>
    <t xml:space="preserve">cinema/05.webp</t>
  </si>
  <si>
    <t xml:space="preserve">cinema/06.webp</t>
  </si>
  <si>
    <t xml:space="preserve">cinema/07.webp</t>
  </si>
  <si>
    <t xml:space="preserve">cinema/08.webp</t>
  </si>
  <si>
    <t xml:space="preserve">cinema/09.webp</t>
  </si>
  <si>
    <t xml:space="preserve">cinema/10.webp</t>
  </si>
  <si>
    <t xml:space="preserve">cinema/11.webp</t>
  </si>
  <si>
    <t xml:space="preserve">cinema/12.webp</t>
  </si>
  <si>
    <t xml:space="preserve">cinema/13.webp</t>
  </si>
  <si>
    <t xml:space="preserve">cinema/14.webp</t>
  </si>
  <si>
    <t xml:space="preserve">cinema/15.webp</t>
  </si>
  <si>
    <t xml:space="preserve">cinema/16.webp</t>
  </si>
  <si>
    <t xml:space="preserve">cinema/17.webp</t>
  </si>
  <si>
    <t xml:space="preserve">closet/01.webp</t>
  </si>
  <si>
    <t xml:space="preserve">closet/02.webp</t>
  </si>
  <si>
    <t xml:space="preserve">closet/03.webp</t>
  </si>
  <si>
    <t xml:space="preserve">closet/04.webp</t>
  </si>
  <si>
    <t xml:space="preserve">closet/05.webp</t>
  </si>
  <si>
    <t xml:space="preserve">closet/06.webp</t>
  </si>
  <si>
    <t xml:space="preserve">closet/07.webp</t>
  </si>
  <si>
    <t xml:space="preserve">closet/08.webp</t>
  </si>
  <si>
    <t xml:space="preserve">closet/09.webp</t>
  </si>
  <si>
    <t xml:space="preserve">closet/10.webp</t>
  </si>
  <si>
    <t xml:space="preserve">closet/11.webp</t>
  </si>
  <si>
    <t xml:space="preserve">closet/12.webp</t>
  </si>
  <si>
    <t xml:space="preserve">closet/13.webp</t>
  </si>
  <si>
    <t xml:space="preserve">closet/14.webp</t>
  </si>
  <si>
    <t xml:space="preserve">closet/15.webp</t>
  </si>
  <si>
    <t xml:space="preserve">closet/16.webp</t>
  </si>
  <si>
    <t xml:space="preserve">closet_suite/01.webp</t>
  </si>
  <si>
    <t xml:space="preserve">closet_suite/02.webp</t>
  </si>
  <si>
    <t xml:space="preserve">closet_suite/03.webp</t>
  </si>
  <si>
    <t xml:space="preserve">closet_suite/04.webp</t>
  </si>
  <si>
    <t xml:space="preserve">closet_suite/05.webp</t>
  </si>
  <si>
    <t xml:space="preserve">cozinha/01.webp</t>
  </si>
  <si>
    <t xml:space="preserve">cozinha/02.webp</t>
  </si>
  <si>
    <t xml:space="preserve">cozinha/03.webp</t>
  </si>
  <si>
    <t xml:space="preserve">cozinha/04.webp</t>
  </si>
  <si>
    <t xml:space="preserve">cozinha/05.webp</t>
  </si>
  <si>
    <t xml:space="preserve">cozinha/06.webp</t>
  </si>
  <si>
    <t xml:space="preserve">cozinha/07.webp</t>
  </si>
  <si>
    <t xml:space="preserve">cozinha/08.webp</t>
  </si>
  <si>
    <t xml:space="preserve">cozinha/09.webp</t>
  </si>
  <si>
    <t xml:space="preserve">cozinha/10.webp</t>
  </si>
  <si>
    <t xml:space="preserve">cozinha/11.webp</t>
  </si>
  <si>
    <t xml:space="preserve">cozinha/12.webp</t>
  </si>
  <si>
    <t xml:space="preserve">cozinha/13.webp</t>
  </si>
  <si>
    <t xml:space="preserve">cozinha/14.webp</t>
  </si>
  <si>
    <t xml:space="preserve">cozinha/15.webp</t>
  </si>
  <si>
    <t xml:space="preserve">cozinha/16.webp</t>
  </si>
  <si>
    <t xml:space="preserve">cozinha/17.webp</t>
  </si>
  <si>
    <t xml:space="preserve">cozinha/18.webp</t>
  </si>
  <si>
    <t xml:space="preserve">cozinha/19.webp</t>
  </si>
  <si>
    <t xml:space="preserve">cozinha/20.webp</t>
  </si>
  <si>
    <t xml:space="preserve">cozinha/21.webp</t>
  </si>
  <si>
    <t xml:space="preserve">cozinha/22.webp</t>
  </si>
  <si>
    <t xml:space="preserve">cozinha/23.webp</t>
  </si>
  <si>
    <t xml:space="preserve">cozinha/24.webp</t>
  </si>
  <si>
    <t xml:space="preserve">cozinha/25.webp</t>
  </si>
  <si>
    <t xml:space="preserve">cozinha/26.webp</t>
  </si>
  <si>
    <t xml:space="preserve">cozinha/27.webp</t>
  </si>
  <si>
    <t xml:space="preserve">cozinha/28.webp</t>
  </si>
  <si>
    <t xml:space="preserve">cozinha/29.webp</t>
  </si>
  <si>
    <t xml:space="preserve">cozinha/30.webp</t>
  </si>
  <si>
    <t xml:space="preserve">cozinha/31.webp</t>
  </si>
  <si>
    <t xml:space="preserve">cozinha/32.webp</t>
  </si>
  <si>
    <t xml:space="preserve">cozinha/33.webp</t>
  </si>
  <si>
    <t xml:space="preserve">cozinha/34.webp</t>
  </si>
  <si>
    <t xml:space="preserve">cozinha/35.webp</t>
  </si>
  <si>
    <t xml:space="preserve">gourmet/01.webp</t>
  </si>
  <si>
    <t xml:space="preserve">gourmet/02.webp</t>
  </si>
  <si>
    <t xml:space="preserve">gourmet/03.webp</t>
  </si>
  <si>
    <t xml:space="preserve">gourmet/04.webp</t>
  </si>
  <si>
    <t xml:space="preserve">gourmet/05.webp</t>
  </si>
  <si>
    <t xml:space="preserve">gourmet/06.webp</t>
  </si>
  <si>
    <t xml:space="preserve">gourmet/07.webp</t>
  </si>
  <si>
    <t xml:space="preserve">gourmet/08.webp</t>
  </si>
  <si>
    <t xml:space="preserve">gourmet/09.webp</t>
  </si>
  <si>
    <t xml:space="preserve">gourmet/10.webp</t>
  </si>
  <si>
    <t xml:space="preserve">gourmet/11.webp</t>
  </si>
  <si>
    <t xml:space="preserve">gourmet/12.webp</t>
  </si>
  <si>
    <t xml:space="preserve">gourmet/13.webp</t>
  </si>
  <si>
    <t xml:space="preserve">gourmet/14.webp</t>
  </si>
  <si>
    <t xml:space="preserve">gourmet/15.webp</t>
  </si>
  <si>
    <t xml:space="preserve">gourmet/16.webp</t>
  </si>
  <si>
    <t xml:space="preserve">gourmet/17.webp</t>
  </si>
  <si>
    <t xml:space="preserve">gourmet/18.webp</t>
  </si>
  <si>
    <t xml:space="preserve">gourmet/19.webp</t>
  </si>
  <si>
    <t xml:space="preserve">gourmet/20.webp</t>
  </si>
  <si>
    <t xml:space="preserve">gourmet/21.webp</t>
  </si>
  <si>
    <t xml:space="preserve">gourmet/22.webp</t>
  </si>
  <si>
    <t xml:space="preserve">gourmet/23.webp</t>
  </si>
  <si>
    <t xml:space="preserve">gourmet/24.webp</t>
  </si>
  <si>
    <t xml:space="preserve">gourmet/25.webp</t>
  </si>
  <si>
    <t xml:space="preserve">gourmet/26.webp</t>
  </si>
  <si>
    <t xml:space="preserve">gourmet/27.webp</t>
  </si>
  <si>
    <t xml:space="preserve">gourmet/28.webp</t>
  </si>
  <si>
    <t xml:space="preserve">gourmet/29.webp</t>
  </si>
  <si>
    <t xml:space="preserve">gourmet/30.webp</t>
  </si>
  <si>
    <t xml:space="preserve">hospedes/01.webp</t>
  </si>
  <si>
    <t xml:space="preserve">hospedes/02.webp</t>
  </si>
  <si>
    <t xml:space="preserve">hospedes/03.webp</t>
  </si>
  <si>
    <t xml:space="preserve">hospedes/04.webp</t>
  </si>
  <si>
    <t xml:space="preserve">hospedes/05.webp</t>
  </si>
  <si>
    <t xml:space="preserve">hospedes/06.webp</t>
  </si>
  <si>
    <t xml:space="preserve">hospedes/07.webp</t>
  </si>
  <si>
    <t xml:space="preserve">hospedes/08.webp</t>
  </si>
  <si>
    <t xml:space="preserve">hospedes/09.webp</t>
  </si>
  <si>
    <t xml:space="preserve">hospedes/10.webp</t>
  </si>
  <si>
    <t xml:space="preserve">hospedes/11.webp</t>
  </si>
  <si>
    <t xml:space="preserve">hospedes/12.webp</t>
  </si>
  <si>
    <t xml:space="preserve">hospedes/13.webp</t>
  </si>
  <si>
    <t xml:space="preserve">hospedes/14.webp</t>
  </si>
  <si>
    <t xml:space="preserve">lavabo_externo/01.webp</t>
  </si>
  <si>
    <t xml:space="preserve">lavabo_externo/02.webp</t>
  </si>
  <si>
    <t xml:space="preserve">lavabo_externo/03.webp</t>
  </si>
  <si>
    <t xml:space="preserve">lavabo_externo/04.webp</t>
  </si>
  <si>
    <t xml:space="preserve">lavabo_externo/05.webp</t>
  </si>
  <si>
    <t xml:space="preserve">lavabo_externo/06.webp</t>
  </si>
  <si>
    <t xml:space="preserve">lavabo_interno/01.webp</t>
  </si>
  <si>
    <t xml:space="preserve">lavabo_interno/02.webp</t>
  </si>
  <si>
    <t xml:space="preserve">lavabo_interno/03.webp</t>
  </si>
  <si>
    <t xml:space="preserve">lavabo_interno/04.webp</t>
  </si>
  <si>
    <t xml:space="preserve">lavabo_interno/05.webp</t>
  </si>
  <si>
    <t xml:space="preserve">lavabo_interno/06.webp</t>
  </si>
  <si>
    <t xml:space="preserve">lavabo_interno/07.webp</t>
  </si>
  <si>
    <t xml:space="preserve">lavabo_interno/08.webp</t>
  </si>
  <si>
    <t xml:space="preserve">master/01.webp</t>
  </si>
  <si>
    <t xml:space="preserve">master/02.webp</t>
  </si>
  <si>
    <t xml:space="preserve">master/03.webp</t>
  </si>
  <si>
    <t xml:space="preserve">master/04.webp</t>
  </si>
  <si>
    <t xml:space="preserve">master/05.webp</t>
  </si>
  <si>
    <t xml:space="preserve">master/06.webp</t>
  </si>
  <si>
    <t xml:space="preserve">master/07.webp</t>
  </si>
  <si>
    <t xml:space="preserve">master/08.webp</t>
  </si>
  <si>
    <t xml:space="preserve">master/09.webp</t>
  </si>
  <si>
    <t xml:space="preserve">master/10.webp</t>
  </si>
  <si>
    <t xml:space="preserve">master/11.webp</t>
  </si>
  <si>
    <t xml:space="preserve">master/12.webp</t>
  </si>
  <si>
    <t xml:space="preserve">master/13.webp</t>
  </si>
  <si>
    <t xml:space="preserve">master/14.webp</t>
  </si>
  <si>
    <t xml:space="preserve">master/15.webp</t>
  </si>
  <si>
    <t xml:space="preserve">master/16.webp</t>
  </si>
  <si>
    <t xml:space="preserve">master/17.webp</t>
  </si>
  <si>
    <t xml:space="preserve">master/18.webp</t>
  </si>
  <si>
    <t xml:space="preserve">master/19.webp</t>
  </si>
  <si>
    <t xml:space="preserve">master/20.webp</t>
  </si>
  <si>
    <t xml:space="preserve">master/21.webp</t>
  </si>
  <si>
    <t xml:space="preserve">master/22.webp</t>
  </si>
  <si>
    <t xml:space="preserve">master/23.webp</t>
  </si>
  <si>
    <t xml:space="preserve">master/24.webp</t>
  </si>
  <si>
    <t xml:space="preserve">master/25.webp</t>
  </si>
  <si>
    <t xml:space="preserve">master/26.webp</t>
  </si>
  <si>
    <t xml:space="preserve">master/27.webp</t>
  </si>
  <si>
    <t xml:space="preserve">master/28.webp</t>
  </si>
  <si>
    <t xml:space="preserve">master/29.webp</t>
  </si>
  <si>
    <t xml:space="preserve">master/30.webp</t>
  </si>
  <si>
    <t xml:space="preserve">master/31.webp</t>
  </si>
  <si>
    <t xml:space="preserve">master/32.webp</t>
  </si>
  <si>
    <t xml:space="preserve">master/33.webp</t>
  </si>
  <si>
    <t xml:space="preserve">master/34.webp</t>
  </si>
  <si>
    <t xml:space="preserve">master/35.webp</t>
  </si>
  <si>
    <t xml:space="preserve">master/36.webp</t>
  </si>
  <si>
    <t xml:space="preserve">opcoes/cabeceira_estofada.webp</t>
  </si>
  <si>
    <t xml:space="preserve">opcoes/cabeceira_luz.webp</t>
  </si>
  <si>
    <t xml:space="preserve">opcoes/cabeceira_madeira.webp</t>
  </si>
  <si>
    <t xml:space="preserve">opcoes/cabeceira_pedra.webp</t>
  </si>
  <si>
    <t xml:space="preserve">opcoes/cabeceira_simples.webp</t>
  </si>
  <si>
    <t xml:space="preserve">opcoes/chuveiro_parede.webp</t>
  </si>
  <si>
    <t xml:space="preserve">opcoes/chuveiro_teto.webp</t>
  </si>
  <si>
    <t xml:space="preserve">opcoes/closet_aberto.webp</t>
  </si>
  <si>
    <t xml:space="preserve">opcoes/closet_fechado.webp</t>
  </si>
  <si>
    <t xml:space="preserve">opcoes/closet_ilha.webp</t>
  </si>
  <si>
    <t xml:space="preserve">opcoes/closet_vidro.webp</t>
  </si>
  <si>
    <t xml:space="preserve">opcoes/como_responder.webp</t>
  </si>
  <si>
    <t xml:space="preserve">opcoes/cozinha_guardado.webp</t>
  </si>
  <si>
    <t xml:space="preserve">opcoes/cozinha_mostra.webp</t>
  </si>
  <si>
    <t xml:space="preserve">opcoes/cozinha_um_pouco.webp</t>
  </si>
  <si>
    <t xml:space="preserve">opcoes/madeira_bastante.webp</t>
  </si>
  <si>
    <t xml:space="preserve">opcoes/madeira_detalhe.webp</t>
  </si>
  <si>
    <t xml:space="preserve">opcoes/madeira_sem.webp</t>
  </si>
  <si>
    <t xml:space="preserve">opcoes/onix.webp</t>
  </si>
  <si>
    <t xml:space="preserve">opcoes/pedra_perla_santana.webp</t>
  </si>
  <si>
    <t xml:space="preserve">opcoes/pedra_sao_gabriel.webp</t>
  </si>
  <si>
    <t xml:space="preserve">opcoes/pedra_super_nano.webp</t>
  </si>
  <si>
    <t xml:space="preserve">opcoes/revest_destaque.webp</t>
  </si>
  <si>
    <t xml:space="preserve">opcoes/revest_uniforme.webp</t>
  </si>
  <si>
    <t xml:space="preserve">opcoes/torneira_mesa.webp</t>
  </si>
  <si>
    <t xml:space="preserve">opcoes/torneira_parede.webp</t>
  </si>
  <si>
    <t xml:space="preserve">opcoes/travertino.webp</t>
  </si>
  <si>
    <t xml:space="preserve">quarto/01.webp</t>
  </si>
  <si>
    <t xml:space="preserve">quarto/02.webp</t>
  </si>
  <si>
    <t xml:space="preserve">quarto/03.webp</t>
  </si>
  <si>
    <t xml:space="preserve">quarto/04.webp</t>
  </si>
  <si>
    <t xml:space="preserve">quarto/05.webp</t>
  </si>
  <si>
    <t xml:space="preserve">quarto/06.webp</t>
  </si>
  <si>
    <t xml:space="preserve">quarto/07.webp</t>
  </si>
  <si>
    <t xml:space="preserve">quarto/08.webp</t>
  </si>
  <si>
    <t xml:space="preserve">quarto/09.webp</t>
  </si>
  <si>
    <t xml:space="preserve">quarto/10.webp</t>
  </si>
  <si>
    <t xml:space="preserve">quarto/11.webp</t>
  </si>
  <si>
    <t xml:space="preserve">quarto/12.webp</t>
  </si>
  <si>
    <t xml:space="preserve">quarto/13.webp</t>
  </si>
  <si>
    <t xml:space="preserve">quarto/14.webp</t>
  </si>
  <si>
    <t xml:space="preserve">quarto_teen/01.webp</t>
  </si>
  <si>
    <t xml:space="preserve">quarto_teen/02.webp</t>
  </si>
  <si>
    <t xml:space="preserve">quarto_teen/03.webp</t>
  </si>
  <si>
    <t xml:space="preserve">quarto_teen/04.webp</t>
  </si>
  <si>
    <t xml:space="preserve">quarto_teen/05.webp</t>
  </si>
  <si>
    <t xml:space="preserve">quarto_teen/06.webp</t>
  </si>
  <si>
    <t xml:space="preserve">quarto_teen/07.webp</t>
  </si>
  <si>
    <t xml:space="preserve">quarto_teen/08.webp</t>
  </si>
  <si>
    <t xml:space="preserve">quarto_teen/09.webp</t>
  </si>
  <si>
    <t xml:space="preserve">quarto_teen/10.webp</t>
  </si>
  <si>
    <t xml:space="preserve">quarto_teen/11.webp</t>
  </si>
  <si>
    <t xml:space="preserve">quarto_teen/12.webp</t>
  </si>
  <si>
    <t xml:space="preserve">quarto_teen/13.webp</t>
  </si>
  <si>
    <t xml:space="preserve">quarto_teen/14.webp</t>
  </si>
  <si>
    <t xml:space="preserve">quarto_teen/15.webp</t>
  </si>
  <si>
    <t xml:space="preserve">quarto_teen/16.webp</t>
  </si>
  <si>
    <t xml:space="preserve">quarto_teen/17.webp</t>
  </si>
  <si>
    <t xml:space="preserve">quarto_teen/18.webp</t>
  </si>
  <si>
    <t xml:space="preserve">quarto_teen/19.webp</t>
  </si>
  <si>
    <t xml:space="preserve">quarto_teen/20.webp</t>
  </si>
  <si>
    <t xml:space="preserve">quarto_teen/21.webp</t>
  </si>
  <si>
    <t xml:space="preserve">quarto_teen/22.webp</t>
  </si>
  <si>
    <t xml:space="preserve">quarto_teen/23.webp</t>
  </si>
  <si>
    <t xml:space="preserve">quarto_teen/24.webp</t>
  </si>
  <si>
    <t xml:space="preserve">quarto_teen/25.webp</t>
  </si>
  <si>
    <t xml:space="preserve">quarto_teen/26.webp</t>
  </si>
  <si>
    <t xml:space="preserve">quarto_teen/27.webp</t>
  </si>
  <si>
    <t xml:space="preserve">quarto_teen/28.webp</t>
  </si>
  <si>
    <t xml:space="preserve">quarto_teen_m/01.webp</t>
  </si>
  <si>
    <t xml:space="preserve">quarto_teen_m/02.webp</t>
  </si>
  <si>
    <t xml:space="preserve">quarto_teen_m/03.webp</t>
  </si>
  <si>
    <t xml:space="preserve">quarto_teen_m/04.webp</t>
  </si>
  <si>
    <t xml:space="preserve">quarto_teen_m/05.webp</t>
  </si>
  <si>
    <t xml:space="preserve">quarto_teen_m/06.webp</t>
  </si>
  <si>
    <t xml:space="preserve">quarto_teen_m/07.webp</t>
  </si>
  <si>
    <t xml:space="preserve">quarto_teen_m/08.webp</t>
  </si>
  <si>
    <t xml:space="preserve">quarto_teen_m/09.webp</t>
  </si>
  <si>
    <t xml:space="preserve">quarto_teen_m/10.webp</t>
  </si>
  <si>
    <t xml:space="preserve">quarto_teen_m/11.webp</t>
  </si>
  <si>
    <t xml:space="preserve">quarto_teen_m/12.webp</t>
  </si>
  <si>
    <t xml:space="preserve">quarto_teen_m/13.webp</t>
  </si>
  <si>
    <t xml:space="preserve">quarto_teen_m/14.webp</t>
  </si>
  <si>
    <t xml:space="preserve">quarto_teen_m/15.webp</t>
  </si>
  <si>
    <t xml:space="preserve">quarto_teen_m/16.webp</t>
  </si>
  <si>
    <t xml:space="preserve">quarto_teen_m/17.webp</t>
  </si>
  <si>
    <t xml:space="preserve">quarto_teen_m/18.webp</t>
  </si>
  <si>
    <t xml:space="preserve">quarto_teen_m/19.webp</t>
  </si>
  <si>
    <t xml:space="preserve">quarto_teen_m/20.webp</t>
  </si>
  <si>
    <t xml:space="preserve">quarto_teen_m/21.webp</t>
  </si>
  <si>
    <t xml:space="preserve">quarto_teen_m/22.webp</t>
  </si>
  <si>
    <t xml:space="preserve">quarto_teen_m/23.webp</t>
  </si>
  <si>
    <t xml:space="preserve">quarto_teen_m/24.webp</t>
  </si>
  <si>
    <t xml:space="preserve">quarto_teen_m/25.webp</t>
  </si>
  <si>
    <t xml:space="preserve">sala/01.webp</t>
  </si>
  <si>
    <t xml:space="preserve">sala/02.webp</t>
  </si>
  <si>
    <t xml:space="preserve">sala/03.webp</t>
  </si>
  <si>
    <t xml:space="preserve">sala/04.webp</t>
  </si>
  <si>
    <t xml:space="preserve">sala/05.webp</t>
  </si>
  <si>
    <t xml:space="preserve">sala/06.webp</t>
  </si>
  <si>
    <t xml:space="preserve">sala/07.webp</t>
  </si>
  <si>
    <t xml:space="preserve">sala/08.webp</t>
  </si>
  <si>
    <t xml:space="preserve">sala/09.webp</t>
  </si>
  <si>
    <t xml:space="preserve">sala/10.webp</t>
  </si>
  <si>
    <t xml:space="preserve">sala/11.webp</t>
  </si>
  <si>
    <t xml:space="preserve">sala/12.webp</t>
  </si>
  <si>
    <t xml:space="preserve">sala/13.webp</t>
  </si>
  <si>
    <t xml:space="preserve">sala/14.webp</t>
  </si>
  <si>
    <t xml:space="preserve">sala/15.webp</t>
  </si>
  <si>
    <t xml:space="preserve">sala/16.webp</t>
  </si>
  <si>
    <t xml:space="preserve">sala/17.webp</t>
  </si>
  <si>
    <t xml:space="preserve">sala/18.webp</t>
  </si>
  <si>
    <t xml:space="preserve">sala/19.webp</t>
  </si>
  <si>
    <t xml:space="preserve">sala/20.webp</t>
  </si>
  <si>
    <t xml:space="preserve">sala/21.webp</t>
  </si>
  <si>
    <t xml:space="preserve">sala/22.webp</t>
  </si>
  <si>
    <t xml:space="preserve">sala/23.webp</t>
  </si>
  <si>
    <t xml:space="preserve">sala/24.webp</t>
  </si>
  <si>
    <t xml:space="preserve">sala/25.webp</t>
  </si>
  <si>
    <t xml:space="preserve">sala/26.webp</t>
  </si>
  <si>
    <t xml:space="preserve">sala/27.webp</t>
  </si>
  <si>
    <t xml:space="preserve">sala/28.webp</t>
  </si>
  <si>
    <t xml:space="preserve">sala/29.webp</t>
  </si>
  <si>
    <t xml:space="preserve">sala/30.webp</t>
  </si>
  <si>
    <t xml:space="preserve">sala/31.webp</t>
  </si>
  <si>
    <t xml:space="preserve">sala/32.webp</t>
  </si>
  <si>
    <t xml:space="preserve">sala/33.webp</t>
  </si>
  <si>
    <t xml:space="preserve">sala/34.webp</t>
  </si>
  <si>
    <t xml:space="preserve">sala/35.webp</t>
  </si>
  <si>
    <t xml:space="preserve">sala/36.webp</t>
  </si>
  <si>
    <t xml:space="preserve">Etapa</t>
  </si>
  <si>
    <t xml:space="preserve">O que carrega na tela</t>
  </si>
  <si>
    <t xml:space="preserve">O que prepara para a próxima</t>
  </si>
  <si>
    <t xml:space="preserve">Boas-vindas</t>
  </si>
  <si>
    <t xml:space="preserve">Nenhuma imagem</t>
  </si>
  <si>
    <t xml:space="preserve">Ilustração do "Como responder"</t>
  </si>
  <si>
    <t xml:space="preserve">Capa de um ambiente</t>
  </si>
  <si>
    <t xml:space="preserve">A capa do ambiente</t>
  </si>
  <si>
    <t xml:space="preserve">O primeiro cartão de referência</t>
  </si>
  <si>
    <t xml:space="preserve">Referências (deslizes)</t>
  </si>
  <si>
    <t xml:space="preserve">A foto da tela e as 2 seguintes (só 3 cartões montados)</t>
  </si>
  <si>
    <t xml:space="preserve">A cada deslize entra a próxima; na última foto, as imagens da primeira pergunta</t>
  </si>
  <si>
    <t xml:space="preserve">Perguntas</t>
  </si>
  <si>
    <t xml:space="preserve">As imagens da página atual</t>
  </si>
  <si>
    <t xml:space="preserve">As imagens da próxima página, só das perguntas que vão aparecer com as respostas já dadas</t>
  </si>
  <si>
    <t xml:space="preserve">Fim de um ambiente</t>
  </si>
  <si>
    <t xml:space="preserve">As imagens da última página</t>
  </si>
  <si>
    <t xml:space="preserve">A capa do próximo ambiente</t>
  </si>
  <si>
    <t xml:space="preserve">Voltar ou trocar de ambiente</t>
  </si>
  <si>
    <t xml:space="preserve">Reaproveita o cache do navegador</t>
  </si>
  <si>
    <t xml:space="preserve">Guarda só as últimas 8 imagens preparadas, não o briefing inteiro</t>
  </si>
  <si>
    <t xml:space="preserve">Item</t>
  </si>
  <si>
    <t xml:space="preserve">Como funciona / resultado</t>
  </si>
  <si>
    <t xml:space="preserve">Escolhas bloqueadas</t>
  </si>
  <si>
    <t xml:space="preserve">Enquanto a foto não chega, o cartão mostra a cor média dela e os botões ficam travados.</t>
  </si>
  <si>
    <t xml:space="preserve">Foto que não chega</t>
  </si>
  <si>
    <t xml:space="preserve">Depois de 8 segundos aparecem "Tentar de novo" e "Pular esta". Pular manda a foto para o fim da fila, sem marcar escolha.</t>
  </si>
  <si>
    <t xml:space="preserve">Fotos da Biblioteca</t>
  </si>
  <si>
    <t xml:space="preserve">As fotos enviadas pelo escritório também são salvas em WebP até 100 KB.</t>
  </si>
  <si>
    <t xml:space="preserve">Condição do teste</t>
  </si>
  <si>
    <t xml:space="preserve">Celular simulado, 400 kbps e 400 ms de atraso, conferindo cada requisição.</t>
  </si>
  <si>
    <t xml:space="preserve">Imagens antecipadas</t>
  </si>
  <si>
    <t xml:space="preserve">Nada de outro ambiente ou de etapa distante foi baixado antes da hora.</t>
  </si>
  <si>
    <t xml:space="preserve">Avanço rápido</t>
  </si>
  <si>
    <t xml:space="preserve">6 toques em fotos ainda carregando registraram só 1 escolha.</t>
  </si>
  <si>
    <t xml:space="preserve">Voltar e trocar de ambiente</t>
  </si>
  <si>
    <t xml:space="preserve">Funcionaram sem baixar nada a mais.</t>
  </si>
  <si>
    <t xml:space="preserve">Foto que nunca chega</t>
  </si>
  <si>
    <t xml:space="preserve">O aviso apareceu e "Pular esta" seguiu para a próxima.</t>
  </si>
  <si>
    <t xml:space="preserve">Pendente</t>
  </si>
  <si>
    <t xml:space="preserve">Teste em celular de verdade, de preferência no 4G.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</si>
</sst>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44444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B3A36"/>
        <bgColor rgb="FF44444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B3A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3B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100000</v>
      </c>
      <c r="C2" s="4" t="s">
        <v>2</v>
      </c>
    </row>
    <row r="4" customFormat="false" ht="23.8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customFormat="false" ht="15" hidden="false" customHeight="false" outlineLevel="0" collapsed="false">
      <c r="A5" s="6" t="s">
        <v>11</v>
      </c>
      <c r="B5" s="6" t="s">
        <v>12</v>
      </c>
      <c r="C5" s="6" t="n">
        <f aca="false">COUNTIF(Arquivos!$B$2:$B$359,A5)</f>
        <v>20</v>
      </c>
      <c r="D5" s="7" t="n">
        <f aca="false">SUMIF(Arquivos!$B$2:$B$359,A5,Arquivos!$E$2:$E$359)</f>
        <v>1114116</v>
      </c>
      <c r="E5" s="7" t="n">
        <f aca="false">SUMIF(Arquivos!$B$2:$B$359,A5,Arquivos!$D$2:$D$359)</f>
        <v>2505866</v>
      </c>
      <c r="F5" s="8" t="n">
        <f aca="false">IF(E5=0,0,1-D5/E5)</f>
        <v>0.555396816908805</v>
      </c>
      <c r="G5" s="7" t="n">
        <f aca="false">_xlfn.MAXIFS(Arquivos!$E$2:$E$359,Arquivos!$B$2:$B$359,A5)</f>
        <v>93894</v>
      </c>
      <c r="H5" s="6" t="n">
        <f aca="false">COUNTIFS(Arquivos!$B$2:$B$359,A5,Arquivos!$E$2:$E$359,"&gt;"&amp;$B$2)</f>
        <v>0</v>
      </c>
    </row>
    <row r="6" customFormat="false" ht="15" hidden="false" customHeight="false" outlineLevel="0" collapsed="false">
      <c r="A6" s="6" t="s">
        <v>13</v>
      </c>
      <c r="B6" s="6" t="s">
        <v>14</v>
      </c>
      <c r="C6" s="6" t="n">
        <f aca="false">COUNTIF(Arquivos!$B$2:$B$359,A6)</f>
        <v>24</v>
      </c>
      <c r="D6" s="7" t="n">
        <f aca="false">SUMIF(Arquivos!$B$2:$B$359,A6,Arquivos!$E$2:$E$359)</f>
        <v>1350134</v>
      </c>
      <c r="E6" s="7" t="n">
        <f aca="false">SUMIF(Arquivos!$B$2:$B$359,A6,Arquivos!$D$2:$D$359)</f>
        <v>3055625</v>
      </c>
      <c r="F6" s="8" t="n">
        <f aca="false">IF(E6=0,0,1-D6/E6)</f>
        <v>0.558148005727143</v>
      </c>
      <c r="G6" s="7" t="n">
        <f aca="false">_xlfn.MAXIFS(Arquivos!$E$2:$E$359,Arquivos!$B$2:$B$359,A6)</f>
        <v>89350</v>
      </c>
      <c r="H6" s="6" t="n">
        <f aca="false">COUNTIFS(Arquivos!$B$2:$B$359,A6,Arquivos!$E$2:$E$359,"&gt;"&amp;$B$2)</f>
        <v>0</v>
      </c>
    </row>
    <row r="7" customFormat="false" ht="15" hidden="false" customHeight="false" outlineLevel="0" collapsed="false">
      <c r="A7" s="6" t="s">
        <v>15</v>
      </c>
      <c r="B7" s="6" t="s">
        <v>16</v>
      </c>
      <c r="C7" s="6" t="n">
        <f aca="false">COUNTIF(Arquivos!$B$2:$B$359,A7)</f>
        <v>17</v>
      </c>
      <c r="D7" s="7" t="n">
        <f aca="false">SUMIF(Arquivos!$B$2:$B$359,A7,Arquivos!$E$2:$E$359)</f>
        <v>850190</v>
      </c>
      <c r="E7" s="7" t="n">
        <f aca="false">SUMIF(Arquivos!$B$2:$B$359,A7,Arquivos!$D$2:$D$359)</f>
        <v>2126388</v>
      </c>
      <c r="F7" s="8" t="n">
        <f aca="false">IF(E7=0,0,1-D7/E7)</f>
        <v>0.600171746642664</v>
      </c>
      <c r="G7" s="7" t="n">
        <f aca="false">_xlfn.MAXIFS(Arquivos!$E$2:$E$359,Arquivos!$B$2:$B$359,A7)</f>
        <v>94788</v>
      </c>
      <c r="H7" s="6" t="n">
        <f aca="false">COUNTIFS(Arquivos!$B$2:$B$359,A7,Arquivos!$E$2:$E$359,"&gt;"&amp;$B$2)</f>
        <v>0</v>
      </c>
    </row>
    <row r="8" customFormat="false" ht="15" hidden="false" customHeight="false" outlineLevel="0" collapsed="false">
      <c r="A8" s="6" t="s">
        <v>17</v>
      </c>
      <c r="B8" s="6" t="s">
        <v>18</v>
      </c>
      <c r="C8" s="6" t="n">
        <f aca="false">COUNTIF(Arquivos!$B$2:$B$359,A8)</f>
        <v>17</v>
      </c>
      <c r="D8" s="7" t="n">
        <f aca="false">SUMIF(Arquivos!$B$2:$B$359,A8,Arquivos!$E$2:$E$359)</f>
        <v>1282714</v>
      </c>
      <c r="E8" s="7" t="n">
        <f aca="false">SUMIF(Arquivos!$B$2:$B$359,A8,Arquivos!$D$2:$D$359)</f>
        <v>2630395</v>
      </c>
      <c r="F8" s="8" t="n">
        <f aca="false">IF(E8=0,0,1-D8/E8)</f>
        <v>0.512349285943746</v>
      </c>
      <c r="G8" s="7" t="n">
        <f aca="false">_xlfn.MAXIFS(Arquivos!$E$2:$E$359,Arquivos!$B$2:$B$359,A8)</f>
        <v>95970</v>
      </c>
      <c r="H8" s="6" t="n">
        <f aca="false">COUNTIFS(Arquivos!$B$2:$B$359,A8,Arquivos!$E$2:$E$359,"&gt;"&amp;$B$2)</f>
        <v>0</v>
      </c>
    </row>
    <row r="9" customFormat="false" ht="15" hidden="false" customHeight="false" outlineLevel="0" collapsed="false">
      <c r="A9" s="6" t="s">
        <v>19</v>
      </c>
      <c r="B9" s="6" t="s">
        <v>20</v>
      </c>
      <c r="C9" s="6" t="n">
        <f aca="false">COUNTIF(Arquivos!$B$2:$B$359,A9)</f>
        <v>16</v>
      </c>
      <c r="D9" s="7" t="n">
        <f aca="false">SUMIF(Arquivos!$B$2:$B$359,A9,Arquivos!$E$2:$E$359)</f>
        <v>1011664</v>
      </c>
      <c r="E9" s="7" t="n">
        <f aca="false">SUMIF(Arquivos!$B$2:$B$359,A9,Arquivos!$D$2:$D$359)</f>
        <v>2219149</v>
      </c>
      <c r="F9" s="8" t="n">
        <f aca="false">IF(E9=0,0,1-D9/E9)</f>
        <v>0.544120741779844</v>
      </c>
      <c r="G9" s="7" t="n">
        <f aca="false">_xlfn.MAXIFS(Arquivos!$E$2:$E$359,Arquivos!$B$2:$B$359,A9)</f>
        <v>94382</v>
      </c>
      <c r="H9" s="6" t="n">
        <f aca="false">COUNTIFS(Arquivos!$B$2:$B$359,A9,Arquivos!$E$2:$E$359,"&gt;"&amp;$B$2)</f>
        <v>0</v>
      </c>
    </row>
    <row r="10" customFormat="false" ht="15" hidden="false" customHeight="false" outlineLevel="0" collapsed="false">
      <c r="A10" s="6" t="s">
        <v>21</v>
      </c>
      <c r="B10" s="6" t="s">
        <v>22</v>
      </c>
      <c r="C10" s="6" t="n">
        <f aca="false">COUNTIF(Arquivos!$B$2:$B$359,A10)</f>
        <v>5</v>
      </c>
      <c r="D10" s="7" t="n">
        <f aca="false">SUMIF(Arquivos!$B$2:$B$359,A10,Arquivos!$E$2:$E$359)</f>
        <v>208518</v>
      </c>
      <c r="E10" s="7" t="n">
        <f aca="false">SUMIF(Arquivos!$B$2:$B$359,A10,Arquivos!$D$2:$D$359)</f>
        <v>523232</v>
      </c>
      <c r="F10" s="8" t="n">
        <f aca="false">IF(E10=0,0,1-D10/E10)</f>
        <v>0.601480796281573</v>
      </c>
      <c r="G10" s="7" t="n">
        <f aca="false">_xlfn.MAXIFS(Arquivos!$E$2:$E$359,Arquivos!$B$2:$B$359,A10)</f>
        <v>65510</v>
      </c>
      <c r="H10" s="6" t="n">
        <f aca="false">COUNTIFS(Arquivos!$B$2:$B$359,A10,Arquivos!$E$2:$E$359,"&gt;"&amp;$B$2)</f>
        <v>0</v>
      </c>
    </row>
    <row r="11" customFormat="false" ht="15" hidden="false" customHeight="false" outlineLevel="0" collapsed="false">
      <c r="A11" s="6" t="s">
        <v>23</v>
      </c>
      <c r="B11" s="6" t="s">
        <v>24</v>
      </c>
      <c r="C11" s="6" t="n">
        <f aca="false">COUNTIF(Arquivos!$B$2:$B$359,A11)</f>
        <v>35</v>
      </c>
      <c r="D11" s="7" t="n">
        <f aca="false">SUMIF(Arquivos!$B$2:$B$359,A11,Arquivos!$E$2:$E$359)</f>
        <v>2266290</v>
      </c>
      <c r="E11" s="7" t="n">
        <f aca="false">SUMIF(Arquivos!$B$2:$B$359,A11,Arquivos!$D$2:$D$359)</f>
        <v>5011785</v>
      </c>
      <c r="F11" s="8" t="n">
        <f aca="false">IF(E11=0,0,1-D11/E11)</f>
        <v>0.547807816975389</v>
      </c>
      <c r="G11" s="7" t="n">
        <f aca="false">_xlfn.MAXIFS(Arquivos!$E$2:$E$359,Arquivos!$B$2:$B$359,A11)</f>
        <v>94196</v>
      </c>
      <c r="H11" s="6" t="n">
        <f aca="false">COUNTIFS(Arquivos!$B$2:$B$359,A11,Arquivos!$E$2:$E$359,"&gt;"&amp;$B$2)</f>
        <v>0</v>
      </c>
    </row>
    <row r="12" customFormat="false" ht="15" hidden="false" customHeight="false" outlineLevel="0" collapsed="false">
      <c r="A12" s="6" t="s">
        <v>25</v>
      </c>
      <c r="B12" s="6" t="s">
        <v>26</v>
      </c>
      <c r="C12" s="6" t="n">
        <f aca="false">COUNTIF(Arquivos!$B$2:$B$359,A12)</f>
        <v>30</v>
      </c>
      <c r="D12" s="7" t="n">
        <f aca="false">SUMIF(Arquivos!$B$2:$B$359,A12,Arquivos!$E$2:$E$359)</f>
        <v>2553186</v>
      </c>
      <c r="E12" s="7" t="n">
        <f aca="false">SUMIF(Arquivos!$B$2:$B$359,A12,Arquivos!$D$2:$D$359)</f>
        <v>6400596</v>
      </c>
      <c r="F12" s="8" t="n">
        <f aca="false">IF(E12=0,0,1-D12/E12)</f>
        <v>0.601101834891626</v>
      </c>
      <c r="G12" s="7" t="n">
        <f aca="false">_xlfn.MAXIFS(Arquivos!$E$2:$E$359,Arquivos!$B$2:$B$359,A12)</f>
        <v>96260</v>
      </c>
      <c r="H12" s="6" t="n">
        <f aca="false">COUNTIFS(Arquivos!$B$2:$B$359,A12,Arquivos!$E$2:$E$359,"&gt;"&amp;$B$2)</f>
        <v>0</v>
      </c>
    </row>
    <row r="13" customFormat="false" ht="15" hidden="false" customHeight="false" outlineLevel="0" collapsed="false">
      <c r="A13" s="6" t="s">
        <v>27</v>
      </c>
      <c r="B13" s="6" t="s">
        <v>28</v>
      </c>
      <c r="C13" s="6" t="n">
        <f aca="false">COUNTIF(Arquivos!$B$2:$B$359,A13)</f>
        <v>14</v>
      </c>
      <c r="D13" s="7" t="n">
        <f aca="false">SUMIF(Arquivos!$B$2:$B$359,A13,Arquivos!$E$2:$E$359)</f>
        <v>954680</v>
      </c>
      <c r="E13" s="7" t="n">
        <f aca="false">SUMIF(Arquivos!$B$2:$B$359,A13,Arquivos!$D$2:$D$359)</f>
        <v>2113289</v>
      </c>
      <c r="F13" s="8" t="n">
        <f aca="false">IF(E13=0,0,1-D13/E13)</f>
        <v>0.548249198287598</v>
      </c>
      <c r="G13" s="7" t="n">
        <f aca="false">_xlfn.MAXIFS(Arquivos!$E$2:$E$359,Arquivos!$B$2:$B$359,A13)</f>
        <v>92580</v>
      </c>
      <c r="H13" s="6" t="n">
        <f aca="false">COUNTIFS(Arquivos!$B$2:$B$359,A13,Arquivos!$E$2:$E$359,"&gt;"&amp;$B$2)</f>
        <v>0</v>
      </c>
    </row>
    <row r="14" customFormat="false" ht="15" hidden="false" customHeight="false" outlineLevel="0" collapsed="false">
      <c r="A14" s="6" t="s">
        <v>29</v>
      </c>
      <c r="B14" s="6" t="s">
        <v>30</v>
      </c>
      <c r="C14" s="6" t="n">
        <f aca="false">COUNTIF(Arquivos!$B$2:$B$359,A14)</f>
        <v>6</v>
      </c>
      <c r="D14" s="7" t="n">
        <f aca="false">SUMIF(Arquivos!$B$2:$B$359,A14,Arquivos!$E$2:$E$359)</f>
        <v>381484</v>
      </c>
      <c r="E14" s="7" t="n">
        <f aca="false">SUMIF(Arquivos!$B$2:$B$359,A14,Arquivos!$D$2:$D$359)</f>
        <v>738243</v>
      </c>
      <c r="F14" s="8" t="n">
        <f aca="false">IF(E14=0,0,1-D14/E14)</f>
        <v>0.483254158860971</v>
      </c>
      <c r="G14" s="7" t="n">
        <f aca="false">_xlfn.MAXIFS(Arquivos!$E$2:$E$359,Arquivos!$B$2:$B$359,A14)</f>
        <v>86350</v>
      </c>
      <c r="H14" s="6" t="n">
        <f aca="false">COUNTIFS(Arquivos!$B$2:$B$359,A14,Arquivos!$E$2:$E$359,"&gt;"&amp;$B$2)</f>
        <v>0</v>
      </c>
    </row>
    <row r="15" customFormat="false" ht="15" hidden="false" customHeight="false" outlineLevel="0" collapsed="false">
      <c r="A15" s="6" t="s">
        <v>31</v>
      </c>
      <c r="B15" s="6" t="s">
        <v>32</v>
      </c>
      <c r="C15" s="6" t="n">
        <f aca="false">COUNTIF(Arquivos!$B$2:$B$359,A15)</f>
        <v>8</v>
      </c>
      <c r="D15" s="7" t="n">
        <f aca="false">SUMIF(Arquivos!$B$2:$B$359,A15,Arquivos!$E$2:$E$359)</f>
        <v>513150</v>
      </c>
      <c r="E15" s="7" t="n">
        <f aca="false">SUMIF(Arquivos!$B$2:$B$359,A15,Arquivos!$D$2:$D$359)</f>
        <v>1071544</v>
      </c>
      <c r="F15" s="8" t="n">
        <f aca="false">IF(E15=0,0,1-D15/E15)</f>
        <v>0.521111592244462</v>
      </c>
      <c r="G15" s="7" t="n">
        <f aca="false">_xlfn.MAXIFS(Arquivos!$E$2:$E$359,Arquivos!$B$2:$B$359,A15)</f>
        <v>95046</v>
      </c>
      <c r="H15" s="6" t="n">
        <f aca="false">COUNTIFS(Arquivos!$B$2:$B$359,A15,Arquivos!$E$2:$E$359,"&gt;"&amp;$B$2)</f>
        <v>0</v>
      </c>
    </row>
    <row r="16" customFormat="false" ht="15" hidden="false" customHeight="false" outlineLevel="0" collapsed="false">
      <c r="A16" s="6" t="s">
        <v>33</v>
      </c>
      <c r="B16" s="6" t="s">
        <v>34</v>
      </c>
      <c r="C16" s="6" t="n">
        <f aca="false">COUNTIF(Arquivos!$B$2:$B$359,A16)</f>
        <v>36</v>
      </c>
      <c r="D16" s="7" t="n">
        <f aca="false">SUMIF(Arquivos!$B$2:$B$359,A16,Arquivos!$E$2:$E$359)</f>
        <v>2619678</v>
      </c>
      <c r="E16" s="7" t="n">
        <f aca="false">SUMIF(Arquivos!$B$2:$B$359,A16,Arquivos!$D$2:$D$359)</f>
        <v>5528768</v>
      </c>
      <c r="F16" s="8" t="n">
        <f aca="false">IF(E16=0,0,1-D16/E16)</f>
        <v>0.526173281280748</v>
      </c>
      <c r="G16" s="7" t="n">
        <f aca="false">_xlfn.MAXIFS(Arquivos!$E$2:$E$359,Arquivos!$B$2:$B$359,A16)</f>
        <v>96868</v>
      </c>
      <c r="H16" s="6" t="n">
        <f aca="false">COUNTIFS(Arquivos!$B$2:$B$359,A16,Arquivos!$E$2:$E$359,"&gt;"&amp;$B$2)</f>
        <v>0</v>
      </c>
    </row>
    <row r="17" customFormat="false" ht="15" hidden="false" customHeight="false" outlineLevel="0" collapsed="false">
      <c r="A17" s="6" t="s">
        <v>35</v>
      </c>
      <c r="B17" s="6" t="s">
        <v>36</v>
      </c>
      <c r="C17" s="6" t="n">
        <f aca="false">COUNTIF(Arquivos!$B$2:$B$359,A17)</f>
        <v>27</v>
      </c>
      <c r="D17" s="7" t="n">
        <f aca="false">SUMIF(Arquivos!$B$2:$B$359,A17,Arquivos!$E$2:$E$359)</f>
        <v>1599900</v>
      </c>
      <c r="E17" s="7" t="n">
        <f aca="false">SUMIF(Arquivos!$B$2:$B$359,A17,Arquivos!$D$2:$D$359)</f>
        <v>3031509</v>
      </c>
      <c r="F17" s="8" t="n">
        <f aca="false">IF(E17=0,0,1-D17/E17)</f>
        <v>0.472243031440778</v>
      </c>
      <c r="G17" s="7" t="n">
        <f aca="false">_xlfn.MAXIFS(Arquivos!$E$2:$E$359,Arquivos!$B$2:$B$359,A17)</f>
        <v>95806</v>
      </c>
      <c r="H17" s="6" t="n">
        <f aca="false">COUNTIFS(Arquivos!$B$2:$B$359,A17,Arquivos!$E$2:$E$359,"&gt;"&amp;$B$2)</f>
        <v>0</v>
      </c>
    </row>
    <row r="18" customFormat="false" ht="15" hidden="false" customHeight="false" outlineLevel="0" collapsed="false">
      <c r="A18" s="6" t="s">
        <v>37</v>
      </c>
      <c r="B18" s="6" t="s">
        <v>38</v>
      </c>
      <c r="C18" s="6" t="n">
        <f aca="false">COUNTIF(Arquivos!$B$2:$B$359,A18)</f>
        <v>14</v>
      </c>
      <c r="D18" s="7" t="n">
        <f aca="false">SUMIF(Arquivos!$B$2:$B$359,A18,Arquivos!$E$2:$E$359)</f>
        <v>1016528</v>
      </c>
      <c r="E18" s="7" t="n">
        <f aca="false">SUMIF(Arquivos!$B$2:$B$359,A18,Arquivos!$D$2:$D$359)</f>
        <v>2339541</v>
      </c>
      <c r="F18" s="8" t="n">
        <f aca="false">IF(E18=0,0,1-D18/E18)</f>
        <v>0.565501096155186</v>
      </c>
      <c r="G18" s="7" t="n">
        <f aca="false">_xlfn.MAXIFS(Arquivos!$E$2:$E$359,Arquivos!$B$2:$B$359,A18)</f>
        <v>92758</v>
      </c>
      <c r="H18" s="6" t="n">
        <f aca="false">COUNTIFS(Arquivos!$B$2:$B$359,A18,Arquivos!$E$2:$E$359,"&gt;"&amp;$B$2)</f>
        <v>0</v>
      </c>
    </row>
    <row r="19" customFormat="false" ht="15" hidden="false" customHeight="false" outlineLevel="0" collapsed="false">
      <c r="A19" s="6" t="s">
        <v>39</v>
      </c>
      <c r="B19" s="6" t="s">
        <v>40</v>
      </c>
      <c r="C19" s="6" t="n">
        <f aca="false">COUNTIF(Arquivos!$B$2:$B$359,A19)</f>
        <v>28</v>
      </c>
      <c r="D19" s="7" t="n">
        <f aca="false">SUMIF(Arquivos!$B$2:$B$359,A19,Arquivos!$E$2:$E$359)</f>
        <v>1656240</v>
      </c>
      <c r="E19" s="7" t="n">
        <f aca="false">SUMIF(Arquivos!$B$2:$B$359,A19,Arquivos!$D$2:$D$359)</f>
        <v>3271717</v>
      </c>
      <c r="F19" s="8" t="n">
        <f aca="false">IF(E19=0,0,1-D19/E19)</f>
        <v>0.493770396400422</v>
      </c>
      <c r="G19" s="7" t="n">
        <f aca="false">_xlfn.MAXIFS(Arquivos!$E$2:$E$359,Arquivos!$B$2:$B$359,A19)</f>
        <v>96366</v>
      </c>
      <c r="H19" s="6" t="n">
        <f aca="false">COUNTIFS(Arquivos!$B$2:$B$359,A19,Arquivos!$E$2:$E$359,"&gt;"&amp;$B$2)</f>
        <v>0</v>
      </c>
    </row>
    <row r="20" customFormat="false" ht="15" hidden="false" customHeight="false" outlineLevel="0" collapsed="false">
      <c r="A20" s="6" t="s">
        <v>41</v>
      </c>
      <c r="B20" s="6" t="s">
        <v>42</v>
      </c>
      <c r="C20" s="6" t="n">
        <f aca="false">COUNTIF(Arquivos!$B$2:$B$359,A20)</f>
        <v>25</v>
      </c>
      <c r="D20" s="7" t="n">
        <f aca="false">SUMIF(Arquivos!$B$2:$B$359,A20,Arquivos!$E$2:$E$359)</f>
        <v>1735380</v>
      </c>
      <c r="E20" s="7" t="n">
        <f aca="false">SUMIF(Arquivos!$B$2:$B$359,A20,Arquivos!$D$2:$D$359)</f>
        <v>3586089</v>
      </c>
      <c r="F20" s="8" t="n">
        <f aca="false">IF(E20=0,0,1-D20/E20)</f>
        <v>0.516080052670193</v>
      </c>
      <c r="G20" s="7" t="n">
        <f aca="false">_xlfn.MAXIFS(Arquivos!$E$2:$E$359,Arquivos!$B$2:$B$359,A20)</f>
        <v>96286</v>
      </c>
      <c r="H20" s="6" t="n">
        <f aca="false">COUNTIFS(Arquivos!$B$2:$B$359,A20,Arquivos!$E$2:$E$359,"&gt;"&amp;$B$2)</f>
        <v>0</v>
      </c>
    </row>
    <row r="21" customFormat="false" ht="15" hidden="false" customHeight="false" outlineLevel="0" collapsed="false">
      <c r="A21" s="6" t="s">
        <v>43</v>
      </c>
      <c r="B21" s="6" t="s">
        <v>44</v>
      </c>
      <c r="C21" s="6" t="n">
        <f aca="false">COUNTIF(Arquivos!$B$2:$B$359,A21)</f>
        <v>36</v>
      </c>
      <c r="D21" s="7" t="n">
        <f aca="false">SUMIF(Arquivos!$B$2:$B$359,A21,Arquivos!$E$2:$E$359)</f>
        <v>2908824</v>
      </c>
      <c r="E21" s="7" t="n">
        <f aca="false">SUMIF(Arquivos!$B$2:$B$359,A21,Arquivos!$D$2:$D$359)</f>
        <v>6468762</v>
      </c>
      <c r="F21" s="8" t="n">
        <f aca="false">IF(E21=0,0,1-D21/E21)</f>
        <v>0.550327558812645</v>
      </c>
      <c r="G21" s="7" t="n">
        <f aca="false">_xlfn.MAXIFS(Arquivos!$E$2:$E$359,Arquivos!$B$2:$B$359,A21)</f>
        <v>96864</v>
      </c>
      <c r="H21" s="6" t="n">
        <f aca="false">COUNTIFS(Arquivos!$B$2:$B$359,A21,Arquivos!$E$2:$E$359,"&gt;"&amp;$B$2)</f>
        <v>0</v>
      </c>
    </row>
    <row r="22" customFormat="false" ht="15" hidden="false" customHeight="false" outlineLevel="0" collapsed="false">
      <c r="A22" s="9" t="s">
        <v>45</v>
      </c>
      <c r="B22" s="10"/>
      <c r="C22" s="9" t="n">
        <f aca="false">SUM(C5:C21)</f>
        <v>358</v>
      </c>
      <c r="D22" s="11" t="n">
        <f aca="false">SUM(D5:D21)</f>
        <v>24022676</v>
      </c>
      <c r="E22" s="11" t="n">
        <f aca="false">SUM(E5:E21)</f>
        <v>52622498</v>
      </c>
      <c r="F22" s="12" t="n">
        <f aca="false">IF(E22=0,0,1-D22/E22)</f>
        <v>0.543490390745038</v>
      </c>
      <c r="G22" s="11" t="n">
        <f aca="false">MAX(G5:G21)</f>
        <v>96868</v>
      </c>
      <c r="H22" s="9" t="n">
        <f aca="false">SUM(H5:H21)</f>
        <v>0</v>
      </c>
    </row>
    <row r="24" customFormat="false" ht="15" hidden="false" customHeight="false" outlineLevel="0" collapsed="false">
      <c r="A24" s="2" t="s">
        <v>46</v>
      </c>
    </row>
    <row r="25" customFormat="false" ht="15" hidden="false" customHeight="false" outlineLevel="0" collapsed="false">
      <c r="A25" s="13" t="s">
        <v>47</v>
      </c>
    </row>
    <row r="26" customFormat="false" ht="15" hidden="false" customHeight="false" outlineLevel="0" collapsed="false">
      <c r="A26" s="13" t="s">
        <v>48</v>
      </c>
    </row>
    <row r="27" customFormat="false" ht="15" hidden="false" customHeight="false" outlineLevel="0" collapsed="false">
      <c r="A27" s="1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20"/>
  </cols>
  <sheetData>
    <row r="1" customFormat="false" ht="23.85" hidden="false" customHeight="false" outlineLevel="0" collapsed="false">
      <c r="A1" s="5" t="s">
        <v>50</v>
      </c>
      <c r="B1" s="5" t="s">
        <v>3</v>
      </c>
      <c r="C1" s="5" t="s">
        <v>4</v>
      </c>
      <c r="D1" s="5" t="s">
        <v>51</v>
      </c>
      <c r="E1" s="5" t="s">
        <v>52</v>
      </c>
      <c r="F1" s="5" t="s">
        <v>8</v>
      </c>
      <c r="G1" s="5" t="s">
        <v>53</v>
      </c>
      <c r="H1" s="5" t="s">
        <v>54</v>
      </c>
      <c r="I1" s="5" t="s">
        <v>55</v>
      </c>
      <c r="J1" s="5" t="s">
        <v>56</v>
      </c>
    </row>
    <row r="2" customFormat="false" ht="15" hidden="false" customHeight="false" outlineLevel="0" collapsed="false">
      <c r="A2" s="14" t="s">
        <v>57</v>
      </c>
      <c r="B2" s="14" t="s">
        <v>11</v>
      </c>
      <c r="C2" s="14" t="s">
        <v>12</v>
      </c>
      <c r="D2" s="15" t="n">
        <v>142754</v>
      </c>
      <c r="E2" s="15" t="n">
        <v>48886</v>
      </c>
      <c r="F2" s="16" t="n">
        <f aca="false">1-E2/D2</f>
        <v>0.657550751642686</v>
      </c>
      <c r="G2" s="14" t="n">
        <v>84</v>
      </c>
      <c r="H2" s="14" t="n">
        <v>864</v>
      </c>
      <c r="I2" s="14" t="n">
        <v>1080</v>
      </c>
      <c r="J2" s="14" t="str">
        <f aca="false">IF(E2&lt;=100000,"Sim","Não")</f>
        <v>Sim</v>
      </c>
    </row>
    <row r="3" customFormat="false" ht="15" hidden="false" customHeight="false" outlineLevel="0" collapsed="false">
      <c r="A3" s="14" t="s">
        <v>58</v>
      </c>
      <c r="B3" s="14" t="s">
        <v>11</v>
      </c>
      <c r="C3" s="14" t="s">
        <v>12</v>
      </c>
      <c r="D3" s="15" t="n">
        <v>123363</v>
      </c>
      <c r="E3" s="15" t="n">
        <v>44476</v>
      </c>
      <c r="F3" s="16" t="n">
        <f aca="false">1-E3/D3</f>
        <v>0.639470505743213</v>
      </c>
      <c r="G3" s="14" t="n">
        <v>84</v>
      </c>
      <c r="H3" s="14" t="n">
        <v>721</v>
      </c>
      <c r="I3" s="14" t="n">
        <v>1080</v>
      </c>
      <c r="J3" s="14" t="str">
        <f aca="false">IF(E3&lt;=100000,"Sim","Não")</f>
        <v>Sim</v>
      </c>
    </row>
    <row r="4" customFormat="false" ht="15" hidden="false" customHeight="false" outlineLevel="0" collapsed="false">
      <c r="A4" s="14" t="s">
        <v>59</v>
      </c>
      <c r="B4" s="14" t="s">
        <v>11</v>
      </c>
      <c r="C4" s="14" t="s">
        <v>12</v>
      </c>
      <c r="D4" s="15" t="n">
        <v>192345</v>
      </c>
      <c r="E4" s="15" t="n">
        <v>93682</v>
      </c>
      <c r="F4" s="16" t="n">
        <f aca="false">1-E4/D4</f>
        <v>0.512948088070914</v>
      </c>
      <c r="G4" s="14" t="n">
        <v>84</v>
      </c>
      <c r="H4" s="14" t="n">
        <v>864</v>
      </c>
      <c r="I4" s="14" t="n">
        <v>1080</v>
      </c>
      <c r="J4" s="14" t="str">
        <f aca="false">IF(E4&lt;=100000,"Sim","Não")</f>
        <v>Sim</v>
      </c>
    </row>
    <row r="5" customFormat="false" ht="15" hidden="false" customHeight="false" outlineLevel="0" collapsed="false">
      <c r="A5" s="14" t="s">
        <v>60</v>
      </c>
      <c r="B5" s="14" t="s">
        <v>11</v>
      </c>
      <c r="C5" s="14" t="s">
        <v>12</v>
      </c>
      <c r="D5" s="15" t="n">
        <v>147794</v>
      </c>
      <c r="E5" s="15" t="n">
        <v>59118</v>
      </c>
      <c r="F5" s="16" t="n">
        <f aca="false">1-E5/D5</f>
        <v>0.599997293530184</v>
      </c>
      <c r="G5" s="14" t="n">
        <v>84</v>
      </c>
      <c r="H5" s="14" t="n">
        <v>721</v>
      </c>
      <c r="I5" s="14" t="n">
        <v>1080</v>
      </c>
      <c r="J5" s="14" t="str">
        <f aca="false">IF(E5&lt;=100000,"Sim","Não")</f>
        <v>Sim</v>
      </c>
    </row>
    <row r="6" customFormat="false" ht="15" hidden="false" customHeight="false" outlineLevel="0" collapsed="false">
      <c r="A6" s="14" t="s">
        <v>61</v>
      </c>
      <c r="B6" s="14" t="s">
        <v>11</v>
      </c>
      <c r="C6" s="14" t="s">
        <v>12</v>
      </c>
      <c r="D6" s="15" t="n">
        <v>129047</v>
      </c>
      <c r="E6" s="15" t="n">
        <v>62414</v>
      </c>
      <c r="F6" s="16" t="n">
        <f aca="false">1-E6/D6</f>
        <v>0.516346757382969</v>
      </c>
      <c r="G6" s="14" t="n">
        <v>84</v>
      </c>
      <c r="H6" s="14" t="n">
        <v>864</v>
      </c>
      <c r="I6" s="14" t="n">
        <v>1080</v>
      </c>
      <c r="J6" s="14" t="str">
        <f aca="false">IF(E6&lt;=100000,"Sim","Não")</f>
        <v>Sim</v>
      </c>
    </row>
    <row r="7" customFormat="false" ht="15" hidden="false" customHeight="false" outlineLevel="0" collapsed="false">
      <c r="A7" s="14" t="s">
        <v>62</v>
      </c>
      <c r="B7" s="14" t="s">
        <v>11</v>
      </c>
      <c r="C7" s="14" t="s">
        <v>12</v>
      </c>
      <c r="D7" s="15" t="n">
        <v>153152</v>
      </c>
      <c r="E7" s="15" t="n">
        <v>63420</v>
      </c>
      <c r="F7" s="16" t="n">
        <f aca="false">1-E7/D7</f>
        <v>0.585901587964898</v>
      </c>
      <c r="G7" s="14" t="n">
        <v>84</v>
      </c>
      <c r="H7" s="14" t="n">
        <v>720</v>
      </c>
      <c r="I7" s="14" t="n">
        <v>1080</v>
      </c>
      <c r="J7" s="14" t="str">
        <f aca="false">IF(E7&lt;=100000,"Sim","Não")</f>
        <v>Sim</v>
      </c>
    </row>
    <row r="8" customFormat="false" ht="15" hidden="false" customHeight="false" outlineLevel="0" collapsed="false">
      <c r="A8" s="14" t="s">
        <v>63</v>
      </c>
      <c r="B8" s="14" t="s">
        <v>11</v>
      </c>
      <c r="C8" s="14" t="s">
        <v>12</v>
      </c>
      <c r="D8" s="15" t="n">
        <v>123785</v>
      </c>
      <c r="E8" s="15" t="n">
        <v>46668</v>
      </c>
      <c r="F8" s="16" t="n">
        <f aca="false">1-E8/D8</f>
        <v>0.622991477157976</v>
      </c>
      <c r="G8" s="14" t="n">
        <v>84</v>
      </c>
      <c r="H8" s="14" t="n">
        <v>720</v>
      </c>
      <c r="I8" s="14" t="n">
        <v>1080</v>
      </c>
      <c r="J8" s="14" t="str">
        <f aca="false">IF(E8&lt;=100000,"Sim","Não")</f>
        <v>Sim</v>
      </c>
    </row>
    <row r="9" customFormat="false" ht="15" hidden="false" customHeight="false" outlineLevel="0" collapsed="false">
      <c r="A9" s="14" t="s">
        <v>64</v>
      </c>
      <c r="B9" s="14" t="s">
        <v>11</v>
      </c>
      <c r="C9" s="14" t="s">
        <v>12</v>
      </c>
      <c r="D9" s="15" t="n">
        <v>145826</v>
      </c>
      <c r="E9" s="15" t="n">
        <v>57422</v>
      </c>
      <c r="F9" s="16" t="n">
        <f aca="false">1-E9/D9</f>
        <v>0.606229341818331</v>
      </c>
      <c r="G9" s="14" t="n">
        <v>84</v>
      </c>
      <c r="H9" s="14" t="n">
        <v>864</v>
      </c>
      <c r="I9" s="14" t="n">
        <v>1080</v>
      </c>
      <c r="J9" s="14" t="str">
        <f aca="false">IF(E9&lt;=100000,"Sim","Não")</f>
        <v>Sim</v>
      </c>
    </row>
    <row r="10" customFormat="false" ht="15" hidden="false" customHeight="false" outlineLevel="0" collapsed="false">
      <c r="A10" s="14" t="s">
        <v>65</v>
      </c>
      <c r="B10" s="14" t="s">
        <v>11</v>
      </c>
      <c r="C10" s="14" t="s">
        <v>12</v>
      </c>
      <c r="D10" s="15" t="n">
        <v>100869</v>
      </c>
      <c r="E10" s="15" t="n">
        <v>33856</v>
      </c>
      <c r="F10" s="16" t="n">
        <f aca="false">1-E10/D10</f>
        <v>0.664356739930008</v>
      </c>
      <c r="G10" s="14" t="n">
        <v>84</v>
      </c>
      <c r="H10" s="14" t="n">
        <v>864</v>
      </c>
      <c r="I10" s="14" t="n">
        <v>1080</v>
      </c>
      <c r="J10" s="14" t="str">
        <f aca="false">IF(E10&lt;=100000,"Sim","Não")</f>
        <v>Sim</v>
      </c>
    </row>
    <row r="11" customFormat="false" ht="15" hidden="false" customHeight="false" outlineLevel="0" collapsed="false">
      <c r="A11" s="14" t="s">
        <v>66</v>
      </c>
      <c r="B11" s="14" t="s">
        <v>11</v>
      </c>
      <c r="C11" s="14" t="s">
        <v>12</v>
      </c>
      <c r="D11" s="15" t="n">
        <v>107078</v>
      </c>
      <c r="E11" s="15" t="n">
        <v>34608</v>
      </c>
      <c r="F11" s="16" t="n">
        <f aca="false">1-E11/D11</f>
        <v>0.676796354059657</v>
      </c>
      <c r="G11" s="14" t="n">
        <v>84</v>
      </c>
      <c r="H11" s="14" t="n">
        <v>721</v>
      </c>
      <c r="I11" s="14" t="n">
        <v>1080</v>
      </c>
      <c r="J11" s="14" t="str">
        <f aca="false">IF(E11&lt;=100000,"Sim","Não")</f>
        <v>Sim</v>
      </c>
    </row>
    <row r="12" customFormat="false" ht="15" hidden="false" customHeight="false" outlineLevel="0" collapsed="false">
      <c r="A12" s="14" t="s">
        <v>67</v>
      </c>
      <c r="B12" s="14" t="s">
        <v>11</v>
      </c>
      <c r="C12" s="14" t="s">
        <v>12</v>
      </c>
      <c r="D12" s="15" t="n">
        <v>124781</v>
      </c>
      <c r="E12" s="15" t="n">
        <v>50640</v>
      </c>
      <c r="F12" s="16" t="n">
        <f aca="false">1-E12/D12</f>
        <v>0.594168984060073</v>
      </c>
      <c r="G12" s="14" t="n">
        <v>84</v>
      </c>
      <c r="H12" s="14" t="n">
        <v>721</v>
      </c>
      <c r="I12" s="14" t="n">
        <v>1080</v>
      </c>
      <c r="J12" s="14" t="str">
        <f aca="false">IF(E12&lt;=100000,"Sim","Não")</f>
        <v>Sim</v>
      </c>
    </row>
    <row r="13" customFormat="false" ht="15" hidden="false" customHeight="false" outlineLevel="0" collapsed="false">
      <c r="A13" s="14" t="s">
        <v>68</v>
      </c>
      <c r="B13" s="14" t="s">
        <v>11</v>
      </c>
      <c r="C13" s="14" t="s">
        <v>12</v>
      </c>
      <c r="D13" s="15" t="n">
        <v>109964</v>
      </c>
      <c r="E13" s="15" t="n">
        <v>60102</v>
      </c>
      <c r="F13" s="16" t="n">
        <f aca="false">1-E13/D13</f>
        <v>0.453439307409698</v>
      </c>
      <c r="G13" s="14" t="n">
        <v>84</v>
      </c>
      <c r="H13" s="14" t="n">
        <v>720</v>
      </c>
      <c r="I13" s="14" t="n">
        <v>1080</v>
      </c>
      <c r="J13" s="14" t="str">
        <f aca="false">IF(E13&lt;=100000,"Sim","Não")</f>
        <v>Sim</v>
      </c>
    </row>
    <row r="14" customFormat="false" ht="15" hidden="false" customHeight="false" outlineLevel="0" collapsed="false">
      <c r="A14" s="14" t="s">
        <v>69</v>
      </c>
      <c r="B14" s="14" t="s">
        <v>11</v>
      </c>
      <c r="C14" s="14" t="s">
        <v>12</v>
      </c>
      <c r="D14" s="15" t="n">
        <v>138011</v>
      </c>
      <c r="E14" s="15" t="n">
        <v>61176</v>
      </c>
      <c r="F14" s="16" t="n">
        <f aca="false">1-E14/D14</f>
        <v>0.556730985211324</v>
      </c>
      <c r="G14" s="14" t="n">
        <v>84</v>
      </c>
      <c r="H14" s="14" t="n">
        <v>810</v>
      </c>
      <c r="I14" s="14" t="n">
        <v>1080</v>
      </c>
      <c r="J14" s="14" t="str">
        <f aca="false">IF(E14&lt;=100000,"Sim","Não")</f>
        <v>Sim</v>
      </c>
    </row>
    <row r="15" customFormat="false" ht="15" hidden="false" customHeight="false" outlineLevel="0" collapsed="false">
      <c r="A15" s="14" t="s">
        <v>70</v>
      </c>
      <c r="B15" s="14" t="s">
        <v>11</v>
      </c>
      <c r="C15" s="14" t="s">
        <v>12</v>
      </c>
      <c r="D15" s="15" t="n">
        <v>156182</v>
      </c>
      <c r="E15" s="15" t="n">
        <v>77278</v>
      </c>
      <c r="F15" s="16" t="n">
        <f aca="false">1-E15/D15</f>
        <v>0.50520546541855</v>
      </c>
      <c r="G15" s="14" t="n">
        <v>84</v>
      </c>
      <c r="H15" s="14" t="n">
        <v>867</v>
      </c>
      <c r="I15" s="14" t="n">
        <v>1080</v>
      </c>
      <c r="J15" s="14" t="str">
        <f aca="false">IF(E15&lt;=100000,"Sim","Não")</f>
        <v>Sim</v>
      </c>
    </row>
    <row r="16" customFormat="false" ht="15" hidden="false" customHeight="false" outlineLevel="0" collapsed="false">
      <c r="A16" s="14" t="s">
        <v>71</v>
      </c>
      <c r="B16" s="14" t="s">
        <v>11</v>
      </c>
      <c r="C16" s="14" t="s">
        <v>12</v>
      </c>
      <c r="D16" s="15" t="n">
        <v>53706</v>
      </c>
      <c r="E16" s="15" t="n">
        <v>33798</v>
      </c>
      <c r="F16" s="16" t="n">
        <f aca="false">1-E16/D16</f>
        <v>0.370684839682717</v>
      </c>
      <c r="G16" s="14" t="n">
        <v>84</v>
      </c>
      <c r="H16" s="14" t="n">
        <v>512</v>
      </c>
      <c r="I16" s="14" t="n">
        <v>768</v>
      </c>
      <c r="J16" s="14" t="str">
        <f aca="false">IF(E16&lt;=100000,"Sim","Não")</f>
        <v>Sim</v>
      </c>
    </row>
    <row r="17" customFormat="false" ht="15" hidden="false" customHeight="false" outlineLevel="0" collapsed="false">
      <c r="A17" s="14" t="s">
        <v>72</v>
      </c>
      <c r="B17" s="14" t="s">
        <v>11</v>
      </c>
      <c r="C17" s="14" t="s">
        <v>12</v>
      </c>
      <c r="D17" s="15" t="n">
        <v>98707</v>
      </c>
      <c r="E17" s="15" t="n">
        <v>49624</v>
      </c>
      <c r="F17" s="16" t="n">
        <f aca="false">1-E17/D17</f>
        <v>0.497259566190848</v>
      </c>
      <c r="G17" s="14" t="n">
        <v>84</v>
      </c>
      <c r="H17" s="14" t="n">
        <v>721</v>
      </c>
      <c r="I17" s="14" t="n">
        <v>1080</v>
      </c>
      <c r="J17" s="14" t="str">
        <f aca="false">IF(E17&lt;=100000,"Sim","Não")</f>
        <v>Sim</v>
      </c>
    </row>
    <row r="18" customFormat="false" ht="15" hidden="false" customHeight="false" outlineLevel="0" collapsed="false">
      <c r="A18" s="14" t="s">
        <v>73</v>
      </c>
      <c r="B18" s="14" t="s">
        <v>11</v>
      </c>
      <c r="C18" s="14" t="s">
        <v>12</v>
      </c>
      <c r="D18" s="15" t="n">
        <v>136834</v>
      </c>
      <c r="E18" s="15" t="n">
        <v>66634</v>
      </c>
      <c r="F18" s="16" t="n">
        <f aca="false">1-E18/D18</f>
        <v>0.513030387184472</v>
      </c>
      <c r="G18" s="14" t="n">
        <v>84</v>
      </c>
      <c r="H18" s="14" t="n">
        <v>864</v>
      </c>
      <c r="I18" s="14" t="n">
        <v>1080</v>
      </c>
      <c r="J18" s="14" t="str">
        <f aca="false">IF(E18&lt;=100000,"Sim","Não")</f>
        <v>Sim</v>
      </c>
    </row>
    <row r="19" customFormat="false" ht="15" hidden="false" customHeight="false" outlineLevel="0" collapsed="false">
      <c r="A19" s="14" t="s">
        <v>74</v>
      </c>
      <c r="B19" s="14" t="s">
        <v>11</v>
      </c>
      <c r="C19" s="14" t="s">
        <v>12</v>
      </c>
      <c r="D19" s="15" t="n">
        <v>70641</v>
      </c>
      <c r="E19" s="15" t="n">
        <v>38582</v>
      </c>
      <c r="F19" s="16" t="n">
        <f aca="false">1-E19/D19</f>
        <v>0.453829928794893</v>
      </c>
      <c r="G19" s="14" t="n">
        <v>84</v>
      </c>
      <c r="H19" s="14" t="n">
        <v>736</v>
      </c>
      <c r="I19" s="14" t="n">
        <v>920</v>
      </c>
      <c r="J19" s="14" t="str">
        <f aca="false">IF(E19&lt;=100000,"Sim","Não")</f>
        <v>Sim</v>
      </c>
    </row>
    <row r="20" customFormat="false" ht="15" hidden="false" customHeight="false" outlineLevel="0" collapsed="false">
      <c r="A20" s="14" t="s">
        <v>75</v>
      </c>
      <c r="B20" s="14" t="s">
        <v>11</v>
      </c>
      <c r="C20" s="14" t="s">
        <v>12</v>
      </c>
      <c r="D20" s="15" t="n">
        <v>177354</v>
      </c>
      <c r="E20" s="15" t="n">
        <v>93894</v>
      </c>
      <c r="F20" s="16" t="n">
        <f aca="false">1-E20/D20</f>
        <v>0.470584255218377</v>
      </c>
      <c r="G20" s="14" t="n">
        <v>84</v>
      </c>
      <c r="H20" s="14" t="n">
        <v>896</v>
      </c>
      <c r="I20" s="14" t="n">
        <v>1080</v>
      </c>
      <c r="J20" s="14" t="str">
        <f aca="false">IF(E20&lt;=100000,"Sim","Não")</f>
        <v>Sim</v>
      </c>
    </row>
    <row r="21" customFormat="false" ht="15" hidden="false" customHeight="false" outlineLevel="0" collapsed="false">
      <c r="A21" s="14" t="s">
        <v>76</v>
      </c>
      <c r="B21" s="14" t="s">
        <v>11</v>
      </c>
      <c r="C21" s="14" t="s">
        <v>12</v>
      </c>
      <c r="D21" s="15" t="n">
        <v>73673</v>
      </c>
      <c r="E21" s="15" t="n">
        <v>37838</v>
      </c>
      <c r="F21" s="16" t="n">
        <f aca="false">1-E21/D21</f>
        <v>0.486406146077939</v>
      </c>
      <c r="G21" s="14" t="n">
        <v>84</v>
      </c>
      <c r="H21" s="14" t="n">
        <v>828</v>
      </c>
      <c r="I21" s="14" t="n">
        <v>823</v>
      </c>
      <c r="J21" s="14" t="str">
        <f aca="false">IF(E21&lt;=100000,"Sim","Não")</f>
        <v>Sim</v>
      </c>
    </row>
    <row r="22" customFormat="false" ht="15" hidden="false" customHeight="false" outlineLevel="0" collapsed="false">
      <c r="A22" s="14" t="s">
        <v>77</v>
      </c>
      <c r="B22" s="14" t="s">
        <v>13</v>
      </c>
      <c r="C22" s="14" t="s">
        <v>14</v>
      </c>
      <c r="D22" s="15" t="n">
        <v>190326</v>
      </c>
      <c r="E22" s="15" t="n">
        <v>89350</v>
      </c>
      <c r="F22" s="16" t="n">
        <f aca="false">1-E22/D22</f>
        <v>0.530542332629278</v>
      </c>
      <c r="G22" s="14" t="n">
        <v>84</v>
      </c>
      <c r="H22" s="14" t="n">
        <v>810</v>
      </c>
      <c r="I22" s="14" t="n">
        <v>1080</v>
      </c>
      <c r="J22" s="14" t="str">
        <f aca="false">IF(E22&lt;=100000,"Sim","Não")</f>
        <v>Sim</v>
      </c>
    </row>
    <row r="23" customFormat="false" ht="15" hidden="false" customHeight="false" outlineLevel="0" collapsed="false">
      <c r="A23" s="14" t="s">
        <v>78</v>
      </c>
      <c r="B23" s="14" t="s">
        <v>13</v>
      </c>
      <c r="C23" s="14" t="s">
        <v>14</v>
      </c>
      <c r="D23" s="15" t="n">
        <v>168976</v>
      </c>
      <c r="E23" s="15" t="n">
        <v>84578</v>
      </c>
      <c r="F23" s="16" t="n">
        <f aca="false">1-E23/D23</f>
        <v>0.499467379982956</v>
      </c>
      <c r="G23" s="14" t="n">
        <v>84</v>
      </c>
      <c r="H23" s="14" t="n">
        <v>720</v>
      </c>
      <c r="I23" s="14" t="n">
        <v>1080</v>
      </c>
      <c r="J23" s="14" t="str">
        <f aca="false">IF(E23&lt;=100000,"Sim","Não")</f>
        <v>Sim</v>
      </c>
    </row>
    <row r="24" customFormat="false" ht="15" hidden="false" customHeight="false" outlineLevel="0" collapsed="false">
      <c r="A24" s="14" t="s">
        <v>79</v>
      </c>
      <c r="B24" s="14" t="s">
        <v>13</v>
      </c>
      <c r="C24" s="14" t="s">
        <v>14</v>
      </c>
      <c r="D24" s="15" t="n">
        <v>173692</v>
      </c>
      <c r="E24" s="15" t="n">
        <v>69092</v>
      </c>
      <c r="F24" s="16" t="n">
        <f aca="false">1-E24/D24</f>
        <v>0.602215415793474</v>
      </c>
      <c r="G24" s="14" t="n">
        <v>84</v>
      </c>
      <c r="H24" s="14" t="n">
        <v>810</v>
      </c>
      <c r="I24" s="14" t="n">
        <v>1080</v>
      </c>
      <c r="J24" s="14" t="str">
        <f aca="false">IF(E24&lt;=100000,"Sim","Não")</f>
        <v>Sim</v>
      </c>
    </row>
    <row r="25" customFormat="false" ht="15" hidden="false" customHeight="false" outlineLevel="0" collapsed="false">
      <c r="A25" s="14" t="s">
        <v>80</v>
      </c>
      <c r="B25" s="14" t="s">
        <v>13</v>
      </c>
      <c r="C25" s="14" t="s">
        <v>14</v>
      </c>
      <c r="D25" s="15" t="n">
        <v>178522</v>
      </c>
      <c r="E25" s="15" t="n">
        <v>78564</v>
      </c>
      <c r="F25" s="16" t="n">
        <f aca="false">1-E25/D25</f>
        <v>0.559919785796709</v>
      </c>
      <c r="G25" s="14" t="n">
        <v>84</v>
      </c>
      <c r="H25" s="14" t="n">
        <v>721</v>
      </c>
      <c r="I25" s="14" t="n">
        <v>1080</v>
      </c>
      <c r="J25" s="14" t="str">
        <f aca="false">IF(E25&lt;=100000,"Sim","Não")</f>
        <v>Sim</v>
      </c>
    </row>
    <row r="26" customFormat="false" ht="15" hidden="false" customHeight="false" outlineLevel="0" collapsed="false">
      <c r="A26" s="14" t="s">
        <v>81</v>
      </c>
      <c r="B26" s="14" t="s">
        <v>13</v>
      </c>
      <c r="C26" s="14" t="s">
        <v>14</v>
      </c>
      <c r="D26" s="15" t="n">
        <v>144959</v>
      </c>
      <c r="E26" s="15" t="n">
        <v>68030</v>
      </c>
      <c r="F26" s="16" t="n">
        <f aca="false">1-E26/D26</f>
        <v>0.530694886140219</v>
      </c>
      <c r="G26" s="14" t="n">
        <v>84</v>
      </c>
      <c r="H26" s="14" t="n">
        <v>719</v>
      </c>
      <c r="I26" s="14" t="n">
        <v>1080</v>
      </c>
      <c r="J26" s="14" t="str">
        <f aca="false">IF(E26&lt;=100000,"Sim","Não")</f>
        <v>Sim</v>
      </c>
    </row>
    <row r="27" customFormat="false" ht="15" hidden="false" customHeight="false" outlineLevel="0" collapsed="false">
      <c r="A27" s="14" t="s">
        <v>82</v>
      </c>
      <c r="B27" s="14" t="s">
        <v>13</v>
      </c>
      <c r="C27" s="14" t="s">
        <v>14</v>
      </c>
      <c r="D27" s="15" t="n">
        <v>147299</v>
      </c>
      <c r="E27" s="15" t="n">
        <v>56172</v>
      </c>
      <c r="F27" s="16" t="n">
        <f aca="false">1-E27/D27</f>
        <v>0.618653215568334</v>
      </c>
      <c r="G27" s="14" t="n">
        <v>84</v>
      </c>
      <c r="H27" s="14" t="n">
        <v>720</v>
      </c>
      <c r="I27" s="14" t="n">
        <v>1080</v>
      </c>
      <c r="J27" s="14" t="str">
        <f aca="false">IF(E27&lt;=100000,"Sim","Não")</f>
        <v>Sim</v>
      </c>
    </row>
    <row r="28" customFormat="false" ht="15" hidden="false" customHeight="false" outlineLevel="0" collapsed="false">
      <c r="A28" s="14" t="s">
        <v>83</v>
      </c>
      <c r="B28" s="14" t="s">
        <v>13</v>
      </c>
      <c r="C28" s="14" t="s">
        <v>14</v>
      </c>
      <c r="D28" s="15" t="n">
        <v>121445</v>
      </c>
      <c r="E28" s="15" t="n">
        <v>56364</v>
      </c>
      <c r="F28" s="16" t="n">
        <f aca="false">1-E28/D28</f>
        <v>0.535888673885298</v>
      </c>
      <c r="G28" s="14" t="n">
        <v>84</v>
      </c>
      <c r="H28" s="14" t="n">
        <v>721</v>
      </c>
      <c r="I28" s="14" t="n">
        <v>1080</v>
      </c>
      <c r="J28" s="14" t="str">
        <f aca="false">IF(E28&lt;=100000,"Sim","Não")</f>
        <v>Sim</v>
      </c>
    </row>
    <row r="29" customFormat="false" ht="15" hidden="false" customHeight="false" outlineLevel="0" collapsed="false">
      <c r="A29" s="14" t="s">
        <v>84</v>
      </c>
      <c r="B29" s="14" t="s">
        <v>13</v>
      </c>
      <c r="C29" s="14" t="s">
        <v>14</v>
      </c>
      <c r="D29" s="15" t="n">
        <v>116695</v>
      </c>
      <c r="E29" s="15" t="n">
        <v>35284</v>
      </c>
      <c r="F29" s="16" t="n">
        <f aca="false">1-E29/D29</f>
        <v>0.697639144779125</v>
      </c>
      <c r="G29" s="14" t="n">
        <v>84</v>
      </c>
      <c r="H29" s="14" t="n">
        <v>864</v>
      </c>
      <c r="I29" s="14" t="n">
        <v>1080</v>
      </c>
      <c r="J29" s="14" t="str">
        <f aca="false">IF(E29&lt;=100000,"Sim","Não")</f>
        <v>Sim</v>
      </c>
    </row>
    <row r="30" customFormat="false" ht="15" hidden="false" customHeight="false" outlineLevel="0" collapsed="false">
      <c r="A30" s="14" t="s">
        <v>85</v>
      </c>
      <c r="B30" s="14" t="s">
        <v>13</v>
      </c>
      <c r="C30" s="14" t="s">
        <v>14</v>
      </c>
      <c r="D30" s="15" t="n">
        <v>99583</v>
      </c>
      <c r="E30" s="15" t="n">
        <v>36792</v>
      </c>
      <c r="F30" s="16" t="n">
        <f aca="false">1-E30/D30</f>
        <v>0.630539349085687</v>
      </c>
      <c r="G30" s="14" t="n">
        <v>84</v>
      </c>
      <c r="H30" s="14" t="n">
        <v>721</v>
      </c>
      <c r="I30" s="14" t="n">
        <v>1080</v>
      </c>
      <c r="J30" s="14" t="str">
        <f aca="false">IF(E30&lt;=100000,"Sim","Não")</f>
        <v>Sim</v>
      </c>
    </row>
    <row r="31" customFormat="false" ht="15" hidden="false" customHeight="false" outlineLevel="0" collapsed="false">
      <c r="A31" s="14" t="s">
        <v>86</v>
      </c>
      <c r="B31" s="14" t="s">
        <v>13</v>
      </c>
      <c r="C31" s="14" t="s">
        <v>14</v>
      </c>
      <c r="D31" s="15" t="n">
        <v>174961</v>
      </c>
      <c r="E31" s="15" t="n">
        <v>74902</v>
      </c>
      <c r="F31" s="16" t="n">
        <f aca="false">1-E31/D31</f>
        <v>0.571893164762433</v>
      </c>
      <c r="G31" s="14" t="n">
        <v>84</v>
      </c>
      <c r="H31" s="14" t="n">
        <v>807</v>
      </c>
      <c r="I31" s="14" t="n">
        <v>1080</v>
      </c>
      <c r="J31" s="14" t="str">
        <f aca="false">IF(E31&lt;=100000,"Sim","Não")</f>
        <v>Sim</v>
      </c>
    </row>
    <row r="32" customFormat="false" ht="15" hidden="false" customHeight="false" outlineLevel="0" collapsed="false">
      <c r="A32" s="14" t="s">
        <v>87</v>
      </c>
      <c r="B32" s="14" t="s">
        <v>13</v>
      </c>
      <c r="C32" s="14" t="s">
        <v>14</v>
      </c>
      <c r="D32" s="15" t="n">
        <v>123517</v>
      </c>
      <c r="E32" s="15" t="n">
        <v>38506</v>
      </c>
      <c r="F32" s="16" t="n">
        <f aca="false">1-E32/D32</f>
        <v>0.688253438797898</v>
      </c>
      <c r="G32" s="14" t="n">
        <v>84</v>
      </c>
      <c r="H32" s="14" t="n">
        <v>810</v>
      </c>
      <c r="I32" s="14" t="n">
        <v>1080</v>
      </c>
      <c r="J32" s="14" t="str">
        <f aca="false">IF(E32&lt;=100000,"Sim","Não")</f>
        <v>Sim</v>
      </c>
    </row>
    <row r="33" customFormat="false" ht="15" hidden="false" customHeight="false" outlineLevel="0" collapsed="false">
      <c r="A33" s="14" t="s">
        <v>88</v>
      </c>
      <c r="B33" s="14" t="s">
        <v>13</v>
      </c>
      <c r="C33" s="14" t="s">
        <v>14</v>
      </c>
      <c r="D33" s="15" t="n">
        <v>164551</v>
      </c>
      <c r="E33" s="15" t="n">
        <v>66852</v>
      </c>
      <c r="F33" s="16" t="n">
        <f aca="false">1-E33/D33</f>
        <v>0.593730819016597</v>
      </c>
      <c r="G33" s="14" t="n">
        <v>84</v>
      </c>
      <c r="H33" s="14" t="n">
        <v>864</v>
      </c>
      <c r="I33" s="14" t="n">
        <v>1080</v>
      </c>
      <c r="J33" s="14" t="str">
        <f aca="false">IF(E33&lt;=100000,"Sim","Não")</f>
        <v>Sim</v>
      </c>
    </row>
    <row r="34" customFormat="false" ht="15" hidden="false" customHeight="false" outlineLevel="0" collapsed="false">
      <c r="A34" s="14" t="s">
        <v>89</v>
      </c>
      <c r="B34" s="14" t="s">
        <v>13</v>
      </c>
      <c r="C34" s="14" t="s">
        <v>14</v>
      </c>
      <c r="D34" s="15" t="n">
        <v>100359</v>
      </c>
      <c r="E34" s="15" t="n">
        <v>32178</v>
      </c>
      <c r="F34" s="16" t="n">
        <f aca="false">1-E34/D34</f>
        <v>0.679371057902131</v>
      </c>
      <c r="G34" s="14" t="n">
        <v>84</v>
      </c>
      <c r="H34" s="14" t="n">
        <v>721</v>
      </c>
      <c r="I34" s="14" t="n">
        <v>1080</v>
      </c>
      <c r="J34" s="14" t="str">
        <f aca="false">IF(E34&lt;=100000,"Sim","Não")</f>
        <v>Sim</v>
      </c>
    </row>
    <row r="35" customFormat="false" ht="15" hidden="false" customHeight="false" outlineLevel="0" collapsed="false">
      <c r="A35" s="14" t="s">
        <v>90</v>
      </c>
      <c r="B35" s="14" t="s">
        <v>13</v>
      </c>
      <c r="C35" s="14" t="s">
        <v>14</v>
      </c>
      <c r="D35" s="15" t="n">
        <v>142056</v>
      </c>
      <c r="E35" s="15" t="n">
        <v>55610</v>
      </c>
      <c r="F35" s="16" t="n">
        <f aca="false">1-E35/D35</f>
        <v>0.608534662386664</v>
      </c>
      <c r="G35" s="14" t="n">
        <v>84</v>
      </c>
      <c r="H35" s="14" t="n">
        <v>721</v>
      </c>
      <c r="I35" s="14" t="n">
        <v>1080</v>
      </c>
      <c r="J35" s="14" t="str">
        <f aca="false">IF(E35&lt;=100000,"Sim","Não")</f>
        <v>Sim</v>
      </c>
    </row>
    <row r="36" customFormat="false" ht="15" hidden="false" customHeight="false" outlineLevel="0" collapsed="false">
      <c r="A36" s="14" t="s">
        <v>91</v>
      </c>
      <c r="B36" s="14" t="s">
        <v>13</v>
      </c>
      <c r="C36" s="14" t="s">
        <v>14</v>
      </c>
      <c r="D36" s="15" t="n">
        <v>170195</v>
      </c>
      <c r="E36" s="15" t="n">
        <v>88240</v>
      </c>
      <c r="F36" s="16" t="n">
        <f aca="false">1-E36/D36</f>
        <v>0.481535885308029</v>
      </c>
      <c r="G36" s="14" t="n">
        <v>84</v>
      </c>
      <c r="H36" s="14" t="n">
        <v>810</v>
      </c>
      <c r="I36" s="14" t="n">
        <v>1080</v>
      </c>
      <c r="J36" s="14" t="str">
        <f aca="false">IF(E36&lt;=100000,"Sim","Não")</f>
        <v>Sim</v>
      </c>
    </row>
    <row r="37" customFormat="false" ht="15" hidden="false" customHeight="false" outlineLevel="0" collapsed="false">
      <c r="A37" s="14" t="s">
        <v>92</v>
      </c>
      <c r="B37" s="14" t="s">
        <v>13</v>
      </c>
      <c r="C37" s="14" t="s">
        <v>14</v>
      </c>
      <c r="D37" s="15" t="n">
        <v>61953</v>
      </c>
      <c r="E37" s="15" t="n">
        <v>36506</v>
      </c>
      <c r="F37" s="16" t="n">
        <f aca="false">1-E37/D37</f>
        <v>0.410746856487983</v>
      </c>
      <c r="G37" s="14" t="n">
        <v>84</v>
      </c>
      <c r="H37" s="14" t="n">
        <v>736</v>
      </c>
      <c r="I37" s="14" t="n">
        <v>736</v>
      </c>
      <c r="J37" s="14" t="str">
        <f aca="false">IF(E37&lt;=100000,"Sim","Não")</f>
        <v>Sim</v>
      </c>
    </row>
    <row r="38" customFormat="false" ht="15" hidden="false" customHeight="false" outlineLevel="0" collapsed="false">
      <c r="A38" s="14" t="s">
        <v>93</v>
      </c>
      <c r="B38" s="14" t="s">
        <v>13</v>
      </c>
      <c r="C38" s="14" t="s">
        <v>14</v>
      </c>
      <c r="D38" s="15" t="n">
        <v>63351</v>
      </c>
      <c r="E38" s="15" t="n">
        <v>38822</v>
      </c>
      <c r="F38" s="16" t="n">
        <f aca="false">1-E38/D38</f>
        <v>0.387191993812252</v>
      </c>
      <c r="G38" s="14" t="n">
        <v>84</v>
      </c>
      <c r="H38" s="14" t="n">
        <v>736</v>
      </c>
      <c r="I38" s="14" t="n">
        <v>981</v>
      </c>
      <c r="J38" s="14" t="str">
        <f aca="false">IF(E38&lt;=100000,"Sim","Não")</f>
        <v>Sim</v>
      </c>
    </row>
    <row r="39" customFormat="false" ht="15" hidden="false" customHeight="false" outlineLevel="0" collapsed="false">
      <c r="A39" s="14" t="s">
        <v>94</v>
      </c>
      <c r="B39" s="14" t="s">
        <v>13</v>
      </c>
      <c r="C39" s="14" t="s">
        <v>14</v>
      </c>
      <c r="D39" s="15" t="n">
        <v>129121</v>
      </c>
      <c r="E39" s="15" t="n">
        <v>54416</v>
      </c>
      <c r="F39" s="16" t="n">
        <f aca="false">1-E39/D39</f>
        <v>0.578565841342617</v>
      </c>
      <c r="G39" s="14" t="n">
        <v>84</v>
      </c>
      <c r="H39" s="14" t="n">
        <v>721</v>
      </c>
      <c r="I39" s="14" t="n">
        <v>1080</v>
      </c>
      <c r="J39" s="14" t="str">
        <f aca="false">IF(E39&lt;=100000,"Sim","Não")</f>
        <v>Sim</v>
      </c>
    </row>
    <row r="40" customFormat="false" ht="15" hidden="false" customHeight="false" outlineLevel="0" collapsed="false">
      <c r="A40" s="14" t="s">
        <v>95</v>
      </c>
      <c r="B40" s="14" t="s">
        <v>13</v>
      </c>
      <c r="C40" s="14" t="s">
        <v>14</v>
      </c>
      <c r="D40" s="15" t="n">
        <v>138932</v>
      </c>
      <c r="E40" s="15" t="n">
        <v>67842</v>
      </c>
      <c r="F40" s="16" t="n">
        <f aca="false">1-E40/D40</f>
        <v>0.51168917168111</v>
      </c>
      <c r="G40" s="14" t="n">
        <v>84</v>
      </c>
      <c r="H40" s="14" t="n">
        <v>607</v>
      </c>
      <c r="I40" s="14" t="n">
        <v>1080</v>
      </c>
      <c r="J40" s="14" t="str">
        <f aca="false">IF(E40&lt;=100000,"Sim","Não")</f>
        <v>Sim</v>
      </c>
    </row>
    <row r="41" customFormat="false" ht="15" hidden="false" customHeight="false" outlineLevel="0" collapsed="false">
      <c r="A41" s="14" t="s">
        <v>96</v>
      </c>
      <c r="B41" s="14" t="s">
        <v>13</v>
      </c>
      <c r="C41" s="14" t="s">
        <v>14</v>
      </c>
      <c r="D41" s="15" t="n">
        <v>41651</v>
      </c>
      <c r="E41" s="15" t="n">
        <v>21028</v>
      </c>
      <c r="F41" s="16" t="n">
        <f aca="false">1-E41/D41</f>
        <v>0.495138171952654</v>
      </c>
      <c r="G41" s="14" t="n">
        <v>84</v>
      </c>
      <c r="H41" s="14" t="n">
        <v>735</v>
      </c>
      <c r="I41" s="14" t="n">
        <v>588</v>
      </c>
      <c r="J41" s="14" t="str">
        <f aca="false">IF(E41&lt;=100000,"Sim","Não")</f>
        <v>Sim</v>
      </c>
    </row>
    <row r="42" customFormat="false" ht="15" hidden="false" customHeight="false" outlineLevel="0" collapsed="false">
      <c r="A42" s="14" t="s">
        <v>97</v>
      </c>
      <c r="B42" s="14" t="s">
        <v>13</v>
      </c>
      <c r="C42" s="14" t="s">
        <v>14</v>
      </c>
      <c r="D42" s="15" t="n">
        <v>118658</v>
      </c>
      <c r="E42" s="15" t="n">
        <v>44746</v>
      </c>
      <c r="F42" s="16" t="n">
        <f aca="false">1-E42/D42</f>
        <v>0.622899425238922</v>
      </c>
      <c r="G42" s="14" t="n">
        <v>84</v>
      </c>
      <c r="H42" s="14" t="n">
        <v>864</v>
      </c>
      <c r="I42" s="14" t="n">
        <v>1080</v>
      </c>
      <c r="J42" s="14" t="str">
        <f aca="false">IF(E42&lt;=100000,"Sim","Não")</f>
        <v>Sim</v>
      </c>
    </row>
    <row r="43" customFormat="false" ht="15" hidden="false" customHeight="false" outlineLevel="0" collapsed="false">
      <c r="A43" s="14" t="s">
        <v>98</v>
      </c>
      <c r="B43" s="14" t="s">
        <v>13</v>
      </c>
      <c r="C43" s="14" t="s">
        <v>14</v>
      </c>
      <c r="D43" s="15" t="n">
        <v>75803</v>
      </c>
      <c r="E43" s="15" t="n">
        <v>54312</v>
      </c>
      <c r="F43" s="16" t="n">
        <f aca="false">1-E43/D43</f>
        <v>0.283511206680474</v>
      </c>
      <c r="G43" s="14" t="n">
        <v>84</v>
      </c>
      <c r="H43" s="14" t="n">
        <v>735</v>
      </c>
      <c r="I43" s="14" t="n">
        <v>913</v>
      </c>
      <c r="J43" s="14" t="str">
        <f aca="false">IF(E43&lt;=100000,"Sim","Não")</f>
        <v>Sim</v>
      </c>
    </row>
    <row r="44" customFormat="false" ht="15" hidden="false" customHeight="false" outlineLevel="0" collapsed="false">
      <c r="A44" s="14" t="s">
        <v>99</v>
      </c>
      <c r="B44" s="14" t="s">
        <v>13</v>
      </c>
      <c r="C44" s="14" t="s">
        <v>14</v>
      </c>
      <c r="D44" s="15" t="n">
        <v>115109</v>
      </c>
      <c r="E44" s="15" t="n">
        <v>70364</v>
      </c>
      <c r="F44" s="16" t="n">
        <f aca="false">1-E44/D44</f>
        <v>0.388718518968977</v>
      </c>
      <c r="G44" s="14" t="n">
        <v>84</v>
      </c>
      <c r="H44" s="14" t="n">
        <v>683</v>
      </c>
      <c r="I44" s="14" t="n">
        <v>1024</v>
      </c>
      <c r="J44" s="14" t="str">
        <f aca="false">IF(E44&lt;=100000,"Sim","Não")</f>
        <v>Sim</v>
      </c>
    </row>
    <row r="45" customFormat="false" ht="15" hidden="false" customHeight="false" outlineLevel="0" collapsed="false">
      <c r="A45" s="14" t="s">
        <v>100</v>
      </c>
      <c r="B45" s="14" t="s">
        <v>13</v>
      </c>
      <c r="C45" s="14" t="s">
        <v>14</v>
      </c>
      <c r="D45" s="15" t="n">
        <v>93911</v>
      </c>
      <c r="E45" s="15" t="n">
        <v>31584</v>
      </c>
      <c r="F45" s="16" t="n">
        <f aca="false">1-E45/D45</f>
        <v>0.663681570848995</v>
      </c>
      <c r="G45" s="14" t="n">
        <v>84</v>
      </c>
      <c r="H45" s="14" t="n">
        <v>720</v>
      </c>
      <c r="I45" s="14" t="n">
        <v>1080</v>
      </c>
      <c r="J45" s="14" t="str">
        <f aca="false">IF(E45&lt;=100000,"Sim","Não")</f>
        <v>Sim</v>
      </c>
    </row>
    <row r="46" customFormat="false" ht="15" hidden="false" customHeight="false" outlineLevel="0" collapsed="false">
      <c r="A46" s="14" t="s">
        <v>101</v>
      </c>
      <c r="B46" s="14" t="s">
        <v>15</v>
      </c>
      <c r="C46" s="14" t="s">
        <v>16</v>
      </c>
      <c r="D46" s="15" t="n">
        <v>122903</v>
      </c>
      <c r="E46" s="15" t="n">
        <v>67282</v>
      </c>
      <c r="F46" s="16" t="n">
        <f aca="false">1-E46/D46</f>
        <v>0.452560149060641</v>
      </c>
      <c r="G46" s="14" t="n">
        <v>84</v>
      </c>
      <c r="H46" s="14" t="n">
        <v>800</v>
      </c>
      <c r="I46" s="14" t="n">
        <v>1200</v>
      </c>
      <c r="J46" s="14" t="str">
        <f aca="false">IF(E46&lt;=100000,"Sim","Não")</f>
        <v>Sim</v>
      </c>
    </row>
    <row r="47" customFormat="false" ht="15" hidden="false" customHeight="false" outlineLevel="0" collapsed="false">
      <c r="A47" s="14" t="s">
        <v>102</v>
      </c>
      <c r="B47" s="14" t="s">
        <v>15</v>
      </c>
      <c r="C47" s="14" t="s">
        <v>16</v>
      </c>
      <c r="D47" s="15" t="n">
        <v>137530</v>
      </c>
      <c r="E47" s="15" t="n">
        <v>41068</v>
      </c>
      <c r="F47" s="16" t="n">
        <f aca="false">1-E47/D47</f>
        <v>0.701388787900822</v>
      </c>
      <c r="G47" s="14" t="n">
        <v>84</v>
      </c>
      <c r="H47" s="14" t="n">
        <v>900</v>
      </c>
      <c r="I47" s="14" t="n">
        <v>1200</v>
      </c>
      <c r="J47" s="14" t="str">
        <f aca="false">IF(E47&lt;=100000,"Sim","Não")</f>
        <v>Sim</v>
      </c>
    </row>
    <row r="48" customFormat="false" ht="15" hidden="false" customHeight="false" outlineLevel="0" collapsed="false">
      <c r="A48" s="14" t="s">
        <v>103</v>
      </c>
      <c r="B48" s="14" t="s">
        <v>15</v>
      </c>
      <c r="C48" s="14" t="s">
        <v>16</v>
      </c>
      <c r="D48" s="15" t="n">
        <v>239940</v>
      </c>
      <c r="E48" s="15" t="n">
        <v>88788</v>
      </c>
      <c r="F48" s="16" t="n">
        <f aca="false">1-E48/D48</f>
        <v>0.629957489372343</v>
      </c>
      <c r="G48" s="14" t="n">
        <v>72</v>
      </c>
      <c r="H48" s="14" t="n">
        <v>1200</v>
      </c>
      <c r="I48" s="14" t="n">
        <v>800</v>
      </c>
      <c r="J48" s="14" t="str">
        <f aca="false">IF(E48&lt;=100000,"Sim","Não")</f>
        <v>Sim</v>
      </c>
    </row>
    <row r="49" customFormat="false" ht="15" hidden="false" customHeight="false" outlineLevel="0" collapsed="false">
      <c r="A49" s="14" t="s">
        <v>104</v>
      </c>
      <c r="B49" s="14" t="s">
        <v>15</v>
      </c>
      <c r="C49" s="14" t="s">
        <v>16</v>
      </c>
      <c r="D49" s="15" t="n">
        <v>202962</v>
      </c>
      <c r="E49" s="15" t="n">
        <v>94788</v>
      </c>
      <c r="F49" s="16" t="n">
        <f aca="false">1-E49/D49</f>
        <v>0.532976616312413</v>
      </c>
      <c r="G49" s="14" t="n">
        <v>68</v>
      </c>
      <c r="H49" s="14" t="n">
        <v>900</v>
      </c>
      <c r="I49" s="14" t="n">
        <v>1200</v>
      </c>
      <c r="J49" s="14" t="str">
        <f aca="false">IF(E49&lt;=100000,"Sim","Não")</f>
        <v>Sim</v>
      </c>
    </row>
    <row r="50" customFormat="false" ht="15" hidden="false" customHeight="false" outlineLevel="0" collapsed="false">
      <c r="A50" s="14" t="s">
        <v>105</v>
      </c>
      <c r="B50" s="14" t="s">
        <v>15</v>
      </c>
      <c r="C50" s="14" t="s">
        <v>16</v>
      </c>
      <c r="D50" s="15" t="n">
        <v>128540</v>
      </c>
      <c r="E50" s="15" t="n">
        <v>37766</v>
      </c>
      <c r="F50" s="16" t="n">
        <f aca="false">1-E50/D50</f>
        <v>0.706192624863856</v>
      </c>
      <c r="G50" s="14" t="n">
        <v>84</v>
      </c>
      <c r="H50" s="14" t="n">
        <v>960</v>
      </c>
      <c r="I50" s="14" t="n">
        <v>1200</v>
      </c>
      <c r="J50" s="14" t="str">
        <f aca="false">IF(E50&lt;=100000,"Sim","Não")</f>
        <v>Sim</v>
      </c>
    </row>
    <row r="51" customFormat="false" ht="15" hidden="false" customHeight="false" outlineLevel="0" collapsed="false">
      <c r="A51" s="14" t="s">
        <v>106</v>
      </c>
      <c r="B51" s="14" t="s">
        <v>15</v>
      </c>
      <c r="C51" s="14" t="s">
        <v>16</v>
      </c>
      <c r="D51" s="15" t="n">
        <v>100949</v>
      </c>
      <c r="E51" s="15" t="n">
        <v>42670</v>
      </c>
      <c r="F51" s="16" t="n">
        <f aca="false">1-E51/D51</f>
        <v>0.577311315614815</v>
      </c>
      <c r="G51" s="14" t="n">
        <v>84</v>
      </c>
      <c r="H51" s="14" t="n">
        <v>1200</v>
      </c>
      <c r="I51" s="14" t="n">
        <v>1200</v>
      </c>
      <c r="J51" s="14" t="str">
        <f aca="false">IF(E51&lt;=100000,"Sim","Não")</f>
        <v>Sim</v>
      </c>
    </row>
    <row r="52" customFormat="false" ht="15" hidden="false" customHeight="false" outlineLevel="0" collapsed="false">
      <c r="A52" s="14" t="s">
        <v>107</v>
      </c>
      <c r="B52" s="14" t="s">
        <v>15</v>
      </c>
      <c r="C52" s="14" t="s">
        <v>16</v>
      </c>
      <c r="D52" s="15" t="n">
        <v>145407</v>
      </c>
      <c r="E52" s="15" t="n">
        <v>48424</v>
      </c>
      <c r="F52" s="16" t="n">
        <f aca="false">1-E52/D52</f>
        <v>0.666976142826687</v>
      </c>
      <c r="G52" s="14" t="n">
        <v>84</v>
      </c>
      <c r="H52" s="14" t="n">
        <v>978</v>
      </c>
      <c r="I52" s="14" t="n">
        <v>1200</v>
      </c>
      <c r="J52" s="14" t="str">
        <f aca="false">IF(E52&lt;=100000,"Sim","Não")</f>
        <v>Sim</v>
      </c>
    </row>
    <row r="53" customFormat="false" ht="15" hidden="false" customHeight="false" outlineLevel="0" collapsed="false">
      <c r="A53" s="14" t="s">
        <v>108</v>
      </c>
      <c r="B53" s="14" t="s">
        <v>15</v>
      </c>
      <c r="C53" s="14" t="s">
        <v>16</v>
      </c>
      <c r="D53" s="15" t="n">
        <v>52509</v>
      </c>
      <c r="E53" s="15" t="n">
        <v>22296</v>
      </c>
      <c r="F53" s="16" t="n">
        <f aca="false">1-E53/D53</f>
        <v>0.575387076501171</v>
      </c>
      <c r="G53" s="14" t="n">
        <v>84</v>
      </c>
      <c r="H53" s="14" t="n">
        <v>735</v>
      </c>
      <c r="I53" s="14" t="n">
        <v>1103</v>
      </c>
      <c r="J53" s="14" t="str">
        <f aca="false">IF(E53&lt;=100000,"Sim","Não")</f>
        <v>Sim</v>
      </c>
    </row>
    <row r="54" customFormat="false" ht="15" hidden="false" customHeight="false" outlineLevel="0" collapsed="false">
      <c r="A54" s="14" t="s">
        <v>109</v>
      </c>
      <c r="B54" s="14" t="s">
        <v>15</v>
      </c>
      <c r="C54" s="14" t="s">
        <v>16</v>
      </c>
      <c r="D54" s="15" t="n">
        <v>189040</v>
      </c>
      <c r="E54" s="15" t="n">
        <v>90880</v>
      </c>
      <c r="F54" s="16" t="n">
        <f aca="false">1-E54/D54</f>
        <v>0.519255184088024</v>
      </c>
      <c r="G54" s="14" t="n">
        <v>68</v>
      </c>
      <c r="H54" s="14" t="n">
        <v>857</v>
      </c>
      <c r="I54" s="14" t="n">
        <v>1200</v>
      </c>
      <c r="J54" s="14" t="str">
        <f aca="false">IF(E54&lt;=100000,"Sim","Não")</f>
        <v>Sim</v>
      </c>
    </row>
    <row r="55" customFormat="false" ht="15" hidden="false" customHeight="false" outlineLevel="0" collapsed="false">
      <c r="A55" s="14" t="s">
        <v>110</v>
      </c>
      <c r="B55" s="14" t="s">
        <v>15</v>
      </c>
      <c r="C55" s="14" t="s">
        <v>16</v>
      </c>
      <c r="D55" s="15" t="n">
        <v>74448</v>
      </c>
      <c r="E55" s="15" t="n">
        <v>23602</v>
      </c>
      <c r="F55" s="16" t="n">
        <f aca="false">1-E55/D55</f>
        <v>0.682973350526542</v>
      </c>
      <c r="G55" s="14" t="n">
        <v>84</v>
      </c>
      <c r="H55" s="14" t="n">
        <v>735</v>
      </c>
      <c r="I55" s="14" t="n">
        <v>1103</v>
      </c>
      <c r="J55" s="14" t="str">
        <f aca="false">IF(E55&lt;=100000,"Sim","Não")</f>
        <v>Sim</v>
      </c>
    </row>
    <row r="56" customFormat="false" ht="15" hidden="false" customHeight="false" outlineLevel="0" collapsed="false">
      <c r="A56" s="14" t="s">
        <v>111</v>
      </c>
      <c r="B56" s="14" t="s">
        <v>15</v>
      </c>
      <c r="C56" s="14" t="s">
        <v>16</v>
      </c>
      <c r="D56" s="15" t="n">
        <v>97141</v>
      </c>
      <c r="E56" s="15" t="n">
        <v>32718</v>
      </c>
      <c r="F56" s="16" t="n">
        <f aca="false">1-E56/D56</f>
        <v>0.663190619820673</v>
      </c>
      <c r="G56" s="14" t="n">
        <v>84</v>
      </c>
      <c r="H56" s="14" t="n">
        <v>675</v>
      </c>
      <c r="I56" s="14" t="n">
        <v>1200</v>
      </c>
      <c r="J56" s="14" t="str">
        <f aca="false">IF(E56&lt;=100000,"Sim","Não")</f>
        <v>Sim</v>
      </c>
    </row>
    <row r="57" customFormat="false" ht="15" hidden="false" customHeight="false" outlineLevel="0" collapsed="false">
      <c r="A57" s="14" t="s">
        <v>112</v>
      </c>
      <c r="B57" s="14" t="s">
        <v>15</v>
      </c>
      <c r="C57" s="14" t="s">
        <v>16</v>
      </c>
      <c r="D57" s="15" t="n">
        <v>85760</v>
      </c>
      <c r="E57" s="15" t="n">
        <v>38796</v>
      </c>
      <c r="F57" s="16" t="n">
        <f aca="false">1-E57/D57</f>
        <v>0.547621268656716</v>
      </c>
      <c r="G57" s="14" t="n">
        <v>84</v>
      </c>
      <c r="H57" s="14" t="n">
        <v>900</v>
      </c>
      <c r="I57" s="14" t="n">
        <v>1200</v>
      </c>
      <c r="J57" s="14" t="str">
        <f aca="false">IF(E57&lt;=100000,"Sim","Não")</f>
        <v>Sim</v>
      </c>
    </row>
    <row r="58" customFormat="false" ht="15" hidden="false" customHeight="false" outlineLevel="0" collapsed="false">
      <c r="A58" s="14" t="s">
        <v>113</v>
      </c>
      <c r="B58" s="14" t="s">
        <v>15</v>
      </c>
      <c r="C58" s="14" t="s">
        <v>16</v>
      </c>
      <c r="D58" s="15" t="n">
        <v>199319</v>
      </c>
      <c r="E58" s="15" t="n">
        <v>89620</v>
      </c>
      <c r="F58" s="16" t="n">
        <f aca="false">1-E58/D58</f>
        <v>0.55036900646702</v>
      </c>
      <c r="G58" s="14" t="n">
        <v>72</v>
      </c>
      <c r="H58" s="14" t="n">
        <v>800</v>
      </c>
      <c r="I58" s="14" t="n">
        <v>1200</v>
      </c>
      <c r="J58" s="14" t="str">
        <f aca="false">IF(E58&lt;=100000,"Sim","Não")</f>
        <v>Sim</v>
      </c>
    </row>
    <row r="59" customFormat="false" ht="15" hidden="false" customHeight="false" outlineLevel="0" collapsed="false">
      <c r="A59" s="14" t="s">
        <v>114</v>
      </c>
      <c r="B59" s="14" t="s">
        <v>15</v>
      </c>
      <c r="C59" s="14" t="s">
        <v>16</v>
      </c>
      <c r="D59" s="15" t="n">
        <v>103982</v>
      </c>
      <c r="E59" s="15" t="n">
        <v>30556</v>
      </c>
      <c r="F59" s="16" t="n">
        <f aca="false">1-E59/D59</f>
        <v>0.706141447558231</v>
      </c>
      <c r="G59" s="14" t="n">
        <v>84</v>
      </c>
      <c r="H59" s="14" t="n">
        <v>956</v>
      </c>
      <c r="I59" s="14" t="n">
        <v>1200</v>
      </c>
      <c r="J59" s="14" t="str">
        <f aca="false">IF(E59&lt;=100000,"Sim","Não")</f>
        <v>Sim</v>
      </c>
    </row>
    <row r="60" customFormat="false" ht="15" hidden="false" customHeight="false" outlineLevel="0" collapsed="false">
      <c r="A60" s="14" t="s">
        <v>115</v>
      </c>
      <c r="B60" s="14" t="s">
        <v>15</v>
      </c>
      <c r="C60" s="14" t="s">
        <v>16</v>
      </c>
      <c r="D60" s="15" t="n">
        <v>73047</v>
      </c>
      <c r="E60" s="15" t="n">
        <v>27968</v>
      </c>
      <c r="F60" s="16" t="n">
        <f aca="false">1-E60/D60</f>
        <v>0.617123222035128</v>
      </c>
      <c r="G60" s="14" t="n">
        <v>84</v>
      </c>
      <c r="H60" s="14" t="n">
        <v>828</v>
      </c>
      <c r="I60" s="14" t="n">
        <v>1033</v>
      </c>
      <c r="J60" s="14" t="str">
        <f aca="false">IF(E60&lt;=100000,"Sim","Não")</f>
        <v>Sim</v>
      </c>
    </row>
    <row r="61" customFormat="false" ht="15" hidden="false" customHeight="false" outlineLevel="0" collapsed="false">
      <c r="A61" s="14" t="s">
        <v>116</v>
      </c>
      <c r="B61" s="14" t="s">
        <v>15</v>
      </c>
      <c r="C61" s="14" t="s">
        <v>16</v>
      </c>
      <c r="D61" s="15" t="n">
        <v>81207</v>
      </c>
      <c r="E61" s="15" t="n">
        <v>33940</v>
      </c>
      <c r="F61" s="16" t="n">
        <f aca="false">1-E61/D61</f>
        <v>0.582055734111591</v>
      </c>
      <c r="G61" s="14" t="n">
        <v>84</v>
      </c>
      <c r="H61" s="14" t="n">
        <v>1199</v>
      </c>
      <c r="I61" s="14" t="n">
        <v>669</v>
      </c>
      <c r="J61" s="14" t="str">
        <f aca="false">IF(E61&lt;=100000,"Sim","Não")</f>
        <v>Sim</v>
      </c>
    </row>
    <row r="62" customFormat="false" ht="15" hidden="false" customHeight="false" outlineLevel="0" collapsed="false">
      <c r="A62" s="14" t="s">
        <v>117</v>
      </c>
      <c r="B62" s="14" t="s">
        <v>15</v>
      </c>
      <c r="C62" s="14" t="s">
        <v>16</v>
      </c>
      <c r="D62" s="15" t="n">
        <v>91704</v>
      </c>
      <c r="E62" s="15" t="n">
        <v>39028</v>
      </c>
      <c r="F62" s="16" t="n">
        <f aca="false">1-E62/D62</f>
        <v>0.574413329843845</v>
      </c>
      <c r="G62" s="14" t="n">
        <v>84</v>
      </c>
      <c r="H62" s="14" t="n">
        <v>736</v>
      </c>
      <c r="I62" s="14" t="n">
        <v>1104</v>
      </c>
      <c r="J62" s="14" t="str">
        <f aca="false">IF(E62&lt;=100000,"Sim","Não")</f>
        <v>Sim</v>
      </c>
    </row>
    <row r="63" customFormat="false" ht="15" hidden="false" customHeight="false" outlineLevel="0" collapsed="false">
      <c r="A63" s="14" t="s">
        <v>118</v>
      </c>
      <c r="B63" s="14" t="s">
        <v>17</v>
      </c>
      <c r="C63" s="14" t="s">
        <v>18</v>
      </c>
      <c r="D63" s="15" t="n">
        <v>188806</v>
      </c>
      <c r="E63" s="15" t="n">
        <v>91922</v>
      </c>
      <c r="F63" s="16" t="n">
        <f aca="false">1-E63/D63</f>
        <v>0.513140472230755</v>
      </c>
      <c r="G63" s="14" t="n">
        <v>84</v>
      </c>
      <c r="H63" s="14" t="n">
        <v>1080</v>
      </c>
      <c r="I63" s="14" t="n">
        <v>720</v>
      </c>
      <c r="J63" s="14" t="str">
        <f aca="false">IF(E63&lt;=100000,"Sim","Não")</f>
        <v>Sim</v>
      </c>
    </row>
    <row r="64" customFormat="false" ht="15" hidden="false" customHeight="false" outlineLevel="0" collapsed="false">
      <c r="A64" s="14" t="s">
        <v>119</v>
      </c>
      <c r="B64" s="14" t="s">
        <v>17</v>
      </c>
      <c r="C64" s="14" t="s">
        <v>18</v>
      </c>
      <c r="D64" s="15" t="n">
        <v>141745</v>
      </c>
      <c r="E64" s="15" t="n">
        <v>62384</v>
      </c>
      <c r="F64" s="16" t="n">
        <f aca="false">1-E64/D64</f>
        <v>0.55988571025433</v>
      </c>
      <c r="G64" s="14" t="n">
        <v>84</v>
      </c>
      <c r="H64" s="14" t="n">
        <v>1080</v>
      </c>
      <c r="I64" s="14" t="n">
        <v>720</v>
      </c>
      <c r="J64" s="14" t="str">
        <f aca="false">IF(E64&lt;=100000,"Sim","Não")</f>
        <v>Sim</v>
      </c>
    </row>
    <row r="65" customFormat="false" ht="15" hidden="false" customHeight="false" outlineLevel="0" collapsed="false">
      <c r="A65" s="14" t="s">
        <v>120</v>
      </c>
      <c r="B65" s="14" t="s">
        <v>17</v>
      </c>
      <c r="C65" s="14" t="s">
        <v>18</v>
      </c>
      <c r="D65" s="15" t="n">
        <v>154778</v>
      </c>
      <c r="E65" s="15" t="n">
        <v>68968</v>
      </c>
      <c r="F65" s="16" t="n">
        <f aca="false">1-E65/D65</f>
        <v>0.554406957061081</v>
      </c>
      <c r="G65" s="14" t="n">
        <v>84</v>
      </c>
      <c r="H65" s="14" t="n">
        <v>1080</v>
      </c>
      <c r="I65" s="14" t="n">
        <v>721</v>
      </c>
      <c r="J65" s="14" t="str">
        <f aca="false">IF(E65&lt;=100000,"Sim","Não")</f>
        <v>Sim</v>
      </c>
    </row>
    <row r="66" customFormat="false" ht="15" hidden="false" customHeight="false" outlineLevel="0" collapsed="false">
      <c r="A66" s="14" t="s">
        <v>121</v>
      </c>
      <c r="B66" s="14" t="s">
        <v>17</v>
      </c>
      <c r="C66" s="14" t="s">
        <v>18</v>
      </c>
      <c r="D66" s="15" t="n">
        <v>171282</v>
      </c>
      <c r="E66" s="15" t="n">
        <v>79030</v>
      </c>
      <c r="F66" s="16" t="n">
        <f aca="false">1-E66/D66</f>
        <v>0.538597167244661</v>
      </c>
      <c r="G66" s="14" t="n">
        <v>84</v>
      </c>
      <c r="H66" s="14" t="n">
        <v>1080</v>
      </c>
      <c r="I66" s="14" t="n">
        <v>810</v>
      </c>
      <c r="J66" s="14" t="str">
        <f aca="false">IF(E66&lt;=100000,"Sim","Não")</f>
        <v>Sim</v>
      </c>
    </row>
    <row r="67" customFormat="false" ht="15" hidden="false" customHeight="false" outlineLevel="0" collapsed="false">
      <c r="A67" s="14" t="s">
        <v>122</v>
      </c>
      <c r="B67" s="14" t="s">
        <v>17</v>
      </c>
      <c r="C67" s="14" t="s">
        <v>18</v>
      </c>
      <c r="D67" s="15" t="n">
        <v>128679</v>
      </c>
      <c r="E67" s="15" t="n">
        <v>56030</v>
      </c>
      <c r="F67" s="16" t="n">
        <f aca="false">1-E67/D67</f>
        <v>0.564575416346102</v>
      </c>
      <c r="G67" s="14" t="n">
        <v>84</v>
      </c>
      <c r="H67" s="14" t="n">
        <v>1080</v>
      </c>
      <c r="I67" s="14" t="n">
        <v>721</v>
      </c>
      <c r="J67" s="14" t="str">
        <f aca="false">IF(E67&lt;=100000,"Sim","Não")</f>
        <v>Sim</v>
      </c>
    </row>
    <row r="68" customFormat="false" ht="15" hidden="false" customHeight="false" outlineLevel="0" collapsed="false">
      <c r="A68" s="14" t="s">
        <v>123</v>
      </c>
      <c r="B68" s="14" t="s">
        <v>17</v>
      </c>
      <c r="C68" s="14" t="s">
        <v>18</v>
      </c>
      <c r="D68" s="15" t="n">
        <v>208810</v>
      </c>
      <c r="E68" s="15" t="n">
        <v>95970</v>
      </c>
      <c r="F68" s="16" t="n">
        <f aca="false">1-E68/D68</f>
        <v>0.540395574924573</v>
      </c>
      <c r="G68" s="14" t="n">
        <v>84</v>
      </c>
      <c r="H68" s="14" t="n">
        <v>1080</v>
      </c>
      <c r="I68" s="14" t="n">
        <v>810</v>
      </c>
      <c r="J68" s="14" t="str">
        <f aca="false">IF(E68&lt;=100000,"Sim","Não")</f>
        <v>Sim</v>
      </c>
    </row>
    <row r="69" customFormat="false" ht="15" hidden="false" customHeight="false" outlineLevel="0" collapsed="false">
      <c r="A69" s="14" t="s">
        <v>124</v>
      </c>
      <c r="B69" s="14" t="s">
        <v>17</v>
      </c>
      <c r="C69" s="14" t="s">
        <v>18</v>
      </c>
      <c r="D69" s="15" t="n">
        <v>160920</v>
      </c>
      <c r="E69" s="15" t="n">
        <v>73300</v>
      </c>
      <c r="F69" s="16" t="n">
        <f aca="false">1-E69/D69</f>
        <v>0.544494158588118</v>
      </c>
      <c r="G69" s="14" t="n">
        <v>84</v>
      </c>
      <c r="H69" s="14" t="n">
        <v>1080</v>
      </c>
      <c r="I69" s="14" t="n">
        <v>810</v>
      </c>
      <c r="J69" s="14" t="str">
        <f aca="false">IF(E69&lt;=100000,"Sim","Não")</f>
        <v>Sim</v>
      </c>
    </row>
    <row r="70" customFormat="false" ht="15" hidden="false" customHeight="false" outlineLevel="0" collapsed="false">
      <c r="A70" s="14" t="s">
        <v>125</v>
      </c>
      <c r="B70" s="14" t="s">
        <v>17</v>
      </c>
      <c r="C70" s="14" t="s">
        <v>18</v>
      </c>
      <c r="D70" s="15" t="n">
        <v>180970</v>
      </c>
      <c r="E70" s="15" t="n">
        <v>79898</v>
      </c>
      <c r="F70" s="16" t="n">
        <f aca="false">1-E70/D70</f>
        <v>0.558501409073327</v>
      </c>
      <c r="G70" s="14" t="n">
        <v>84</v>
      </c>
      <c r="H70" s="14" t="n">
        <v>810</v>
      </c>
      <c r="I70" s="14" t="n">
        <v>1080</v>
      </c>
      <c r="J70" s="14" t="str">
        <f aca="false">IF(E70&lt;=100000,"Sim","Não")</f>
        <v>Sim</v>
      </c>
    </row>
    <row r="71" customFormat="false" ht="15" hidden="false" customHeight="false" outlineLevel="0" collapsed="false">
      <c r="A71" s="14" t="s">
        <v>126</v>
      </c>
      <c r="B71" s="14" t="s">
        <v>17</v>
      </c>
      <c r="C71" s="14" t="s">
        <v>18</v>
      </c>
      <c r="D71" s="15" t="n">
        <v>122349</v>
      </c>
      <c r="E71" s="15" t="n">
        <v>50212</v>
      </c>
      <c r="F71" s="16" t="n">
        <f aca="false">1-E71/D71</f>
        <v>0.58960024193087</v>
      </c>
      <c r="G71" s="14" t="n">
        <v>84</v>
      </c>
      <c r="H71" s="14" t="n">
        <v>1080</v>
      </c>
      <c r="I71" s="14" t="n">
        <v>721</v>
      </c>
      <c r="J71" s="14" t="str">
        <f aca="false">IF(E71&lt;=100000,"Sim","Não")</f>
        <v>Sim</v>
      </c>
    </row>
    <row r="72" customFormat="false" ht="15" hidden="false" customHeight="false" outlineLevel="0" collapsed="false">
      <c r="A72" s="14" t="s">
        <v>127</v>
      </c>
      <c r="B72" s="14" t="s">
        <v>17</v>
      </c>
      <c r="C72" s="14" t="s">
        <v>18</v>
      </c>
      <c r="D72" s="15" t="n">
        <v>121519</v>
      </c>
      <c r="E72" s="15" t="n">
        <v>55328</v>
      </c>
      <c r="F72" s="16" t="n">
        <f aca="false">1-E72/D72</f>
        <v>0.544696714094092</v>
      </c>
      <c r="G72" s="14" t="n">
        <v>84</v>
      </c>
      <c r="H72" s="14" t="n">
        <v>1080</v>
      </c>
      <c r="I72" s="14" t="n">
        <v>720</v>
      </c>
      <c r="J72" s="14" t="str">
        <f aca="false">IF(E72&lt;=100000,"Sim","Não")</f>
        <v>Sim</v>
      </c>
    </row>
    <row r="73" customFormat="false" ht="15" hidden="false" customHeight="false" outlineLevel="0" collapsed="false">
      <c r="A73" s="14" t="s">
        <v>128</v>
      </c>
      <c r="B73" s="14" t="s">
        <v>17</v>
      </c>
      <c r="C73" s="14" t="s">
        <v>18</v>
      </c>
      <c r="D73" s="15" t="n">
        <v>154616</v>
      </c>
      <c r="E73" s="15" t="n">
        <v>69982</v>
      </c>
      <c r="F73" s="16" t="n">
        <f aca="false">1-E73/D73</f>
        <v>0.547381900967558</v>
      </c>
      <c r="G73" s="14" t="n">
        <v>84</v>
      </c>
      <c r="H73" s="14" t="n">
        <v>1080</v>
      </c>
      <c r="I73" s="14" t="n">
        <v>721</v>
      </c>
      <c r="J73" s="14" t="str">
        <f aca="false">IF(E73&lt;=100000,"Sim","Não")</f>
        <v>Sim</v>
      </c>
    </row>
    <row r="74" customFormat="false" ht="15" hidden="false" customHeight="false" outlineLevel="0" collapsed="false">
      <c r="A74" s="14" t="s">
        <v>129</v>
      </c>
      <c r="B74" s="14" t="s">
        <v>17</v>
      </c>
      <c r="C74" s="14" t="s">
        <v>18</v>
      </c>
      <c r="D74" s="15" t="n">
        <v>185426</v>
      </c>
      <c r="E74" s="15" t="n">
        <v>87960</v>
      </c>
      <c r="F74" s="16" t="n">
        <f aca="false">1-E74/D74</f>
        <v>0.525632867019728</v>
      </c>
      <c r="G74" s="14" t="n">
        <v>84</v>
      </c>
      <c r="H74" s="14" t="n">
        <v>810</v>
      </c>
      <c r="I74" s="14" t="n">
        <v>1080</v>
      </c>
      <c r="J74" s="14" t="str">
        <f aca="false">IF(E74&lt;=100000,"Sim","Não")</f>
        <v>Sim</v>
      </c>
    </row>
    <row r="75" customFormat="false" ht="15" hidden="false" customHeight="false" outlineLevel="0" collapsed="false">
      <c r="A75" s="14" t="s">
        <v>130</v>
      </c>
      <c r="B75" s="14" t="s">
        <v>17</v>
      </c>
      <c r="C75" s="14" t="s">
        <v>18</v>
      </c>
      <c r="D75" s="15" t="n">
        <v>111207</v>
      </c>
      <c r="E75" s="15" t="n">
        <v>93808</v>
      </c>
      <c r="F75" s="16" t="n">
        <f aca="false">1-E75/D75</f>
        <v>0.156455978490563</v>
      </c>
      <c r="G75" s="14" t="n">
        <v>84</v>
      </c>
      <c r="H75" s="14" t="n">
        <v>736</v>
      </c>
      <c r="I75" s="14" t="n">
        <v>920</v>
      </c>
      <c r="J75" s="14" t="str">
        <f aca="false">IF(E75&lt;=100000,"Sim","Não")</f>
        <v>Sim</v>
      </c>
    </row>
    <row r="76" customFormat="false" ht="15" hidden="false" customHeight="false" outlineLevel="0" collapsed="false">
      <c r="A76" s="14" t="s">
        <v>131</v>
      </c>
      <c r="B76" s="14" t="s">
        <v>17</v>
      </c>
      <c r="C76" s="14" t="s">
        <v>18</v>
      </c>
      <c r="D76" s="15" t="n">
        <v>111830</v>
      </c>
      <c r="E76" s="15" t="n">
        <v>94446</v>
      </c>
      <c r="F76" s="16" t="n">
        <f aca="false">1-E76/D76</f>
        <v>0.155450236966825</v>
      </c>
      <c r="G76" s="14" t="n">
        <v>84</v>
      </c>
      <c r="H76" s="14" t="n">
        <v>584</v>
      </c>
      <c r="I76" s="14" t="n">
        <v>883</v>
      </c>
      <c r="J76" s="14" t="str">
        <f aca="false">IF(E76&lt;=100000,"Sim","Não")</f>
        <v>Sim</v>
      </c>
    </row>
    <row r="77" customFormat="false" ht="15" hidden="false" customHeight="false" outlineLevel="0" collapsed="false">
      <c r="A77" s="14" t="s">
        <v>132</v>
      </c>
      <c r="B77" s="14" t="s">
        <v>17</v>
      </c>
      <c r="C77" s="14" t="s">
        <v>18</v>
      </c>
      <c r="D77" s="15" t="n">
        <v>207688</v>
      </c>
      <c r="E77" s="15" t="n">
        <v>92098</v>
      </c>
      <c r="F77" s="16" t="n">
        <f aca="false">1-E77/D77</f>
        <v>0.556555987827896</v>
      </c>
      <c r="G77" s="14" t="n">
        <v>72</v>
      </c>
      <c r="H77" s="14" t="n">
        <v>1024</v>
      </c>
      <c r="I77" s="14" t="n">
        <v>1024</v>
      </c>
      <c r="J77" s="14" t="str">
        <f aca="false">IF(E77&lt;=100000,"Sim","Não")</f>
        <v>Sim</v>
      </c>
    </row>
    <row r="78" customFormat="false" ht="15" hidden="false" customHeight="false" outlineLevel="0" collapsed="false">
      <c r="A78" s="14" t="s">
        <v>133</v>
      </c>
      <c r="B78" s="14" t="s">
        <v>17</v>
      </c>
      <c r="C78" s="14" t="s">
        <v>18</v>
      </c>
      <c r="D78" s="15" t="n">
        <v>75006</v>
      </c>
      <c r="E78" s="15" t="n">
        <v>40560</v>
      </c>
      <c r="F78" s="16" t="n">
        <f aca="false">1-E78/D78</f>
        <v>0.459243260539157</v>
      </c>
      <c r="G78" s="14" t="n">
        <v>84</v>
      </c>
      <c r="H78" s="14" t="n">
        <v>736</v>
      </c>
      <c r="I78" s="14" t="n">
        <v>981</v>
      </c>
      <c r="J78" s="14" t="str">
        <f aca="false">IF(E78&lt;=100000,"Sim","Não")</f>
        <v>Sim</v>
      </c>
    </row>
    <row r="79" customFormat="false" ht="15" hidden="false" customHeight="false" outlineLevel="0" collapsed="false">
      <c r="A79" s="14" t="s">
        <v>134</v>
      </c>
      <c r="B79" s="14" t="s">
        <v>17</v>
      </c>
      <c r="C79" s="14" t="s">
        <v>18</v>
      </c>
      <c r="D79" s="15" t="n">
        <v>204764</v>
      </c>
      <c r="E79" s="15" t="n">
        <v>90818</v>
      </c>
      <c r="F79" s="16" t="n">
        <f aca="false">1-E79/D79</f>
        <v>0.556474770955832</v>
      </c>
      <c r="G79" s="14" t="n">
        <v>76</v>
      </c>
      <c r="H79" s="14" t="n">
        <v>864</v>
      </c>
      <c r="I79" s="14" t="n">
        <v>1080</v>
      </c>
      <c r="J79" s="14" t="str">
        <f aca="false">IF(E79&lt;=100000,"Sim","Não")</f>
        <v>Sim</v>
      </c>
    </row>
    <row r="80" customFormat="false" ht="15" hidden="false" customHeight="false" outlineLevel="0" collapsed="false">
      <c r="A80" s="14" t="s">
        <v>135</v>
      </c>
      <c r="B80" s="14" t="s">
        <v>19</v>
      </c>
      <c r="C80" s="14" t="s">
        <v>20</v>
      </c>
      <c r="D80" s="15" t="n">
        <v>203903</v>
      </c>
      <c r="E80" s="15" t="n">
        <v>92556</v>
      </c>
      <c r="F80" s="16" t="n">
        <f aca="false">1-E80/D80</f>
        <v>0.546078282320515</v>
      </c>
      <c r="G80" s="14" t="n">
        <v>84</v>
      </c>
      <c r="H80" s="14" t="n">
        <v>720</v>
      </c>
      <c r="I80" s="14" t="n">
        <v>1080</v>
      </c>
      <c r="J80" s="14" t="str">
        <f aca="false">IF(E80&lt;=100000,"Sim","Não")</f>
        <v>Sim</v>
      </c>
    </row>
    <row r="81" customFormat="false" ht="15" hidden="false" customHeight="false" outlineLevel="0" collapsed="false">
      <c r="A81" s="14" t="s">
        <v>136</v>
      </c>
      <c r="B81" s="14" t="s">
        <v>19</v>
      </c>
      <c r="C81" s="14" t="s">
        <v>20</v>
      </c>
      <c r="D81" s="15" t="n">
        <v>138861</v>
      </c>
      <c r="E81" s="15" t="n">
        <v>55654</v>
      </c>
      <c r="F81" s="16" t="n">
        <f aca="false">1-E81/D81</f>
        <v>0.59921072151288</v>
      </c>
      <c r="G81" s="14" t="n">
        <v>84</v>
      </c>
      <c r="H81" s="14" t="n">
        <v>721</v>
      </c>
      <c r="I81" s="14" t="n">
        <v>1080</v>
      </c>
      <c r="J81" s="14" t="str">
        <f aca="false">IF(E81&lt;=100000,"Sim","Não")</f>
        <v>Sim</v>
      </c>
    </row>
    <row r="82" customFormat="false" ht="15" hidden="false" customHeight="false" outlineLevel="0" collapsed="false">
      <c r="A82" s="14" t="s">
        <v>137</v>
      </c>
      <c r="B82" s="14" t="s">
        <v>19</v>
      </c>
      <c r="C82" s="14" t="s">
        <v>20</v>
      </c>
      <c r="D82" s="15" t="n">
        <v>89804</v>
      </c>
      <c r="E82" s="15" t="n">
        <v>32470</v>
      </c>
      <c r="F82" s="16" t="n">
        <f aca="false">1-E82/D82</f>
        <v>0.638434813594049</v>
      </c>
      <c r="G82" s="14" t="n">
        <v>84</v>
      </c>
      <c r="H82" s="14" t="n">
        <v>721</v>
      </c>
      <c r="I82" s="14" t="n">
        <v>1080</v>
      </c>
      <c r="J82" s="14" t="str">
        <f aca="false">IF(E82&lt;=100000,"Sim","Não")</f>
        <v>Sim</v>
      </c>
    </row>
    <row r="83" customFormat="false" ht="15" hidden="false" customHeight="false" outlineLevel="0" collapsed="false">
      <c r="A83" s="14" t="s">
        <v>138</v>
      </c>
      <c r="B83" s="14" t="s">
        <v>19</v>
      </c>
      <c r="C83" s="14" t="s">
        <v>20</v>
      </c>
      <c r="D83" s="15" t="n">
        <v>143397</v>
      </c>
      <c r="E83" s="15" t="n">
        <v>64668</v>
      </c>
      <c r="F83" s="16" t="n">
        <f aca="false">1-E83/D83</f>
        <v>0.549028222347748</v>
      </c>
      <c r="G83" s="14" t="n">
        <v>84</v>
      </c>
      <c r="H83" s="14" t="n">
        <v>810</v>
      </c>
      <c r="I83" s="14" t="n">
        <v>1080</v>
      </c>
      <c r="J83" s="14" t="str">
        <f aca="false">IF(E83&lt;=100000,"Sim","Não")</f>
        <v>Sim</v>
      </c>
    </row>
    <row r="84" customFormat="false" ht="15" hidden="false" customHeight="false" outlineLevel="0" collapsed="false">
      <c r="A84" s="14" t="s">
        <v>139</v>
      </c>
      <c r="B84" s="14" t="s">
        <v>19</v>
      </c>
      <c r="C84" s="14" t="s">
        <v>20</v>
      </c>
      <c r="D84" s="15" t="n">
        <v>129315</v>
      </c>
      <c r="E84" s="15" t="n">
        <v>48826</v>
      </c>
      <c r="F84" s="16" t="n">
        <f aca="false">1-E84/D84</f>
        <v>0.622425859335731</v>
      </c>
      <c r="G84" s="14" t="n">
        <v>84</v>
      </c>
      <c r="H84" s="14" t="n">
        <v>788</v>
      </c>
      <c r="I84" s="14" t="n">
        <v>1080</v>
      </c>
      <c r="J84" s="14" t="str">
        <f aca="false">IF(E84&lt;=100000,"Sim","Não")</f>
        <v>Sim</v>
      </c>
    </row>
    <row r="85" customFormat="false" ht="15" hidden="false" customHeight="false" outlineLevel="0" collapsed="false">
      <c r="A85" s="14" t="s">
        <v>140</v>
      </c>
      <c r="B85" s="14" t="s">
        <v>19</v>
      </c>
      <c r="C85" s="14" t="s">
        <v>20</v>
      </c>
      <c r="D85" s="15" t="n">
        <v>138501</v>
      </c>
      <c r="E85" s="15" t="n">
        <v>54940</v>
      </c>
      <c r="F85" s="16" t="n">
        <f aca="false">1-E85/D85</f>
        <v>0.60332416372445</v>
      </c>
      <c r="G85" s="14" t="n">
        <v>84</v>
      </c>
      <c r="H85" s="14" t="n">
        <v>900</v>
      </c>
      <c r="I85" s="14" t="n">
        <v>1080</v>
      </c>
      <c r="J85" s="14" t="str">
        <f aca="false">IF(E85&lt;=100000,"Sim","Não")</f>
        <v>Sim</v>
      </c>
    </row>
    <row r="86" customFormat="false" ht="15" hidden="false" customHeight="false" outlineLevel="0" collapsed="false">
      <c r="A86" s="14" t="s">
        <v>141</v>
      </c>
      <c r="B86" s="14" t="s">
        <v>19</v>
      </c>
      <c r="C86" s="14" t="s">
        <v>20</v>
      </c>
      <c r="D86" s="15" t="n">
        <v>237333</v>
      </c>
      <c r="E86" s="15" t="n">
        <v>94382</v>
      </c>
      <c r="F86" s="16" t="n">
        <f aca="false">1-E86/D86</f>
        <v>0.602322475172016</v>
      </c>
      <c r="G86" s="14" t="n">
        <v>76</v>
      </c>
      <c r="H86" s="14" t="n">
        <v>810</v>
      </c>
      <c r="I86" s="14" t="n">
        <v>1080</v>
      </c>
      <c r="J86" s="14" t="str">
        <f aca="false">IF(E86&lt;=100000,"Sim","Não")</f>
        <v>Sim</v>
      </c>
    </row>
    <row r="87" customFormat="false" ht="15" hidden="false" customHeight="false" outlineLevel="0" collapsed="false">
      <c r="A87" s="14" t="s">
        <v>142</v>
      </c>
      <c r="B87" s="14" t="s">
        <v>19</v>
      </c>
      <c r="C87" s="14" t="s">
        <v>20</v>
      </c>
      <c r="D87" s="15" t="n">
        <v>136398</v>
      </c>
      <c r="E87" s="15" t="n">
        <v>56032</v>
      </c>
      <c r="F87" s="16" t="n">
        <f aca="false">1-E87/D87</f>
        <v>0.589202187715362</v>
      </c>
      <c r="G87" s="14" t="n">
        <v>84</v>
      </c>
      <c r="H87" s="14" t="n">
        <v>720</v>
      </c>
      <c r="I87" s="14" t="n">
        <v>1080</v>
      </c>
      <c r="J87" s="14" t="str">
        <f aca="false">IF(E87&lt;=100000,"Sim","Não")</f>
        <v>Sim</v>
      </c>
    </row>
    <row r="88" customFormat="false" ht="15" hidden="false" customHeight="false" outlineLevel="0" collapsed="false">
      <c r="A88" s="14" t="s">
        <v>143</v>
      </c>
      <c r="B88" s="14" t="s">
        <v>19</v>
      </c>
      <c r="C88" s="14" t="s">
        <v>20</v>
      </c>
      <c r="D88" s="15" t="n">
        <v>141062</v>
      </c>
      <c r="E88" s="15" t="n">
        <v>56720</v>
      </c>
      <c r="F88" s="16" t="n">
        <f aca="false">1-E88/D88</f>
        <v>0.597907303171655</v>
      </c>
      <c r="G88" s="14" t="n">
        <v>84</v>
      </c>
      <c r="H88" s="14" t="n">
        <v>720</v>
      </c>
      <c r="I88" s="14" t="n">
        <v>1080</v>
      </c>
      <c r="J88" s="14" t="str">
        <f aca="false">IF(E88&lt;=100000,"Sim","Não")</f>
        <v>Sim</v>
      </c>
    </row>
    <row r="89" customFormat="false" ht="15" hidden="false" customHeight="false" outlineLevel="0" collapsed="false">
      <c r="A89" s="14" t="s">
        <v>144</v>
      </c>
      <c r="B89" s="14" t="s">
        <v>19</v>
      </c>
      <c r="C89" s="14" t="s">
        <v>20</v>
      </c>
      <c r="D89" s="15" t="n">
        <v>92766</v>
      </c>
      <c r="E89" s="15" t="n">
        <v>32310</v>
      </c>
      <c r="F89" s="16" t="n">
        <f aca="false">1-E89/D89</f>
        <v>0.651704288209042</v>
      </c>
      <c r="G89" s="14" t="n">
        <v>84</v>
      </c>
      <c r="H89" s="14" t="n">
        <v>721</v>
      </c>
      <c r="I89" s="14" t="n">
        <v>1080</v>
      </c>
      <c r="J89" s="14" t="str">
        <f aca="false">IF(E89&lt;=100000,"Sim","Não")</f>
        <v>Sim</v>
      </c>
    </row>
    <row r="90" customFormat="false" ht="15" hidden="false" customHeight="false" outlineLevel="0" collapsed="false">
      <c r="A90" s="14" t="s">
        <v>145</v>
      </c>
      <c r="B90" s="14" t="s">
        <v>19</v>
      </c>
      <c r="C90" s="14" t="s">
        <v>20</v>
      </c>
      <c r="D90" s="15" t="n">
        <v>176849</v>
      </c>
      <c r="E90" s="15" t="n">
        <v>74998</v>
      </c>
      <c r="F90" s="16" t="n">
        <f aca="false">1-E90/D90</f>
        <v>0.575920700710776</v>
      </c>
      <c r="G90" s="14" t="n">
        <v>84</v>
      </c>
      <c r="H90" s="14" t="n">
        <v>810</v>
      </c>
      <c r="I90" s="14" t="n">
        <v>1080</v>
      </c>
      <c r="J90" s="14" t="str">
        <f aca="false">IF(E90&lt;=100000,"Sim","Não")</f>
        <v>Sim</v>
      </c>
    </row>
    <row r="91" customFormat="false" ht="15" hidden="false" customHeight="false" outlineLevel="0" collapsed="false">
      <c r="A91" s="14" t="s">
        <v>146</v>
      </c>
      <c r="B91" s="14" t="s">
        <v>19</v>
      </c>
      <c r="C91" s="14" t="s">
        <v>20</v>
      </c>
      <c r="D91" s="15" t="n">
        <v>131590</v>
      </c>
      <c r="E91" s="15" t="n">
        <v>53022</v>
      </c>
      <c r="F91" s="16" t="n">
        <f aca="false">1-E91/D91</f>
        <v>0.597066646401702</v>
      </c>
      <c r="G91" s="14" t="n">
        <v>84</v>
      </c>
      <c r="H91" s="14" t="n">
        <v>879</v>
      </c>
      <c r="I91" s="14" t="n">
        <v>1080</v>
      </c>
      <c r="J91" s="14" t="str">
        <f aca="false">IF(E91&lt;=100000,"Sim","Não")</f>
        <v>Sim</v>
      </c>
    </row>
    <row r="92" customFormat="false" ht="15" hidden="false" customHeight="false" outlineLevel="0" collapsed="false">
      <c r="A92" s="14" t="s">
        <v>147</v>
      </c>
      <c r="B92" s="14" t="s">
        <v>19</v>
      </c>
      <c r="C92" s="14" t="s">
        <v>20</v>
      </c>
      <c r="D92" s="15" t="n">
        <v>109981</v>
      </c>
      <c r="E92" s="15" t="n">
        <v>58666</v>
      </c>
      <c r="F92" s="16" t="n">
        <f aca="false">1-E92/D92</f>
        <v>0.466580591193024</v>
      </c>
      <c r="G92" s="14" t="n">
        <v>84</v>
      </c>
      <c r="H92" s="14" t="n">
        <v>720</v>
      </c>
      <c r="I92" s="14" t="n">
        <v>1080</v>
      </c>
      <c r="J92" s="14" t="str">
        <f aca="false">IF(E92&lt;=100000,"Sim","Não")</f>
        <v>Sim</v>
      </c>
    </row>
    <row r="93" customFormat="false" ht="15" hidden="false" customHeight="false" outlineLevel="0" collapsed="false">
      <c r="A93" s="14" t="s">
        <v>148</v>
      </c>
      <c r="B93" s="14" t="s">
        <v>19</v>
      </c>
      <c r="C93" s="14" t="s">
        <v>20</v>
      </c>
      <c r="D93" s="15" t="n">
        <v>134592</v>
      </c>
      <c r="E93" s="15" t="n">
        <v>83466</v>
      </c>
      <c r="F93" s="16" t="n">
        <f aca="false">1-E93/D93</f>
        <v>0.379859129814551</v>
      </c>
      <c r="G93" s="14" t="n">
        <v>80</v>
      </c>
      <c r="H93" s="14" t="n">
        <v>736</v>
      </c>
      <c r="I93" s="14" t="n">
        <v>981</v>
      </c>
      <c r="J93" s="14" t="str">
        <f aca="false">IF(E93&lt;=100000,"Sim","Não")</f>
        <v>Sim</v>
      </c>
    </row>
    <row r="94" customFormat="false" ht="15" hidden="false" customHeight="false" outlineLevel="0" collapsed="false">
      <c r="A94" s="14" t="s">
        <v>149</v>
      </c>
      <c r="B94" s="14" t="s">
        <v>19</v>
      </c>
      <c r="C94" s="14" t="s">
        <v>20</v>
      </c>
      <c r="D94" s="15" t="n">
        <v>87238</v>
      </c>
      <c r="E94" s="15" t="n">
        <v>65078</v>
      </c>
      <c r="F94" s="16" t="n">
        <f aca="false">1-E94/D94</f>
        <v>0.254017744560856</v>
      </c>
      <c r="G94" s="14" t="n">
        <v>84</v>
      </c>
      <c r="H94" s="14" t="n">
        <v>736</v>
      </c>
      <c r="I94" s="14" t="n">
        <v>805</v>
      </c>
      <c r="J94" s="14" t="str">
        <f aca="false">IF(E94&lt;=100000,"Sim","Não")</f>
        <v>Sim</v>
      </c>
    </row>
    <row r="95" customFormat="false" ht="15" hidden="false" customHeight="false" outlineLevel="0" collapsed="false">
      <c r="A95" s="14" t="s">
        <v>150</v>
      </c>
      <c r="B95" s="14" t="s">
        <v>19</v>
      </c>
      <c r="C95" s="14" t="s">
        <v>20</v>
      </c>
      <c r="D95" s="15" t="n">
        <v>127559</v>
      </c>
      <c r="E95" s="15" t="n">
        <v>87876</v>
      </c>
      <c r="F95" s="16" t="n">
        <f aca="false">1-E95/D95</f>
        <v>0.311095257880667</v>
      </c>
      <c r="G95" s="14" t="n">
        <v>84</v>
      </c>
      <c r="H95" s="14" t="n">
        <v>720</v>
      </c>
      <c r="I95" s="14" t="n">
        <v>1080</v>
      </c>
      <c r="J95" s="14" t="str">
        <f aca="false">IF(E95&lt;=100000,"Sim","Não")</f>
        <v>Sim</v>
      </c>
    </row>
    <row r="96" customFormat="false" ht="15" hidden="false" customHeight="false" outlineLevel="0" collapsed="false">
      <c r="A96" s="14" t="s">
        <v>151</v>
      </c>
      <c r="B96" s="14" t="s">
        <v>21</v>
      </c>
      <c r="C96" s="14" t="s">
        <v>22</v>
      </c>
      <c r="D96" s="15" t="n">
        <v>136987</v>
      </c>
      <c r="E96" s="15" t="n">
        <v>65510</v>
      </c>
      <c r="F96" s="16" t="n">
        <f aca="false">1-E96/D96</f>
        <v>0.521779438924862</v>
      </c>
      <c r="G96" s="14" t="n">
        <v>84</v>
      </c>
      <c r="H96" s="14" t="n">
        <v>721</v>
      </c>
      <c r="I96" s="14" t="n">
        <v>1080</v>
      </c>
      <c r="J96" s="14" t="str">
        <f aca="false">IF(E96&lt;=100000,"Sim","Não")</f>
        <v>Sim</v>
      </c>
    </row>
    <row r="97" customFormat="false" ht="15" hidden="false" customHeight="false" outlineLevel="0" collapsed="false">
      <c r="A97" s="14" t="s">
        <v>152</v>
      </c>
      <c r="B97" s="14" t="s">
        <v>21</v>
      </c>
      <c r="C97" s="14" t="s">
        <v>22</v>
      </c>
      <c r="D97" s="15" t="n">
        <v>133957</v>
      </c>
      <c r="E97" s="15" t="n">
        <v>60490</v>
      </c>
      <c r="F97" s="16" t="n">
        <f aca="false">1-E97/D97</f>
        <v>0.54843718506685</v>
      </c>
      <c r="G97" s="14" t="n">
        <v>84</v>
      </c>
      <c r="H97" s="14" t="n">
        <v>721</v>
      </c>
      <c r="I97" s="14" t="n">
        <v>1080</v>
      </c>
      <c r="J97" s="14" t="str">
        <f aca="false">IF(E97&lt;=100000,"Sim","Não")</f>
        <v>Sim</v>
      </c>
    </row>
    <row r="98" customFormat="false" ht="15" hidden="false" customHeight="false" outlineLevel="0" collapsed="false">
      <c r="A98" s="14" t="s">
        <v>153</v>
      </c>
      <c r="B98" s="14" t="s">
        <v>21</v>
      </c>
      <c r="C98" s="14" t="s">
        <v>22</v>
      </c>
      <c r="D98" s="15" t="n">
        <v>95806</v>
      </c>
      <c r="E98" s="15" t="n">
        <v>32122</v>
      </c>
      <c r="F98" s="16" t="n">
        <f aca="false">1-E98/D98</f>
        <v>0.664718284867336</v>
      </c>
      <c r="G98" s="14" t="n">
        <v>84</v>
      </c>
      <c r="H98" s="14" t="n">
        <v>810</v>
      </c>
      <c r="I98" s="14" t="n">
        <v>1080</v>
      </c>
      <c r="J98" s="14" t="str">
        <f aca="false">IF(E98&lt;=100000,"Sim","Não")</f>
        <v>Sim</v>
      </c>
    </row>
    <row r="99" customFormat="false" ht="15" hidden="false" customHeight="false" outlineLevel="0" collapsed="false">
      <c r="A99" s="14" t="s">
        <v>154</v>
      </c>
      <c r="B99" s="14" t="s">
        <v>21</v>
      </c>
      <c r="C99" s="14" t="s">
        <v>22</v>
      </c>
      <c r="D99" s="15" t="n">
        <v>82366</v>
      </c>
      <c r="E99" s="15" t="n">
        <v>30364</v>
      </c>
      <c r="F99" s="16" t="n">
        <f aca="false">1-E99/D99</f>
        <v>0.631352742636525</v>
      </c>
      <c r="G99" s="14" t="n">
        <v>84</v>
      </c>
      <c r="H99" s="14" t="n">
        <v>1080</v>
      </c>
      <c r="I99" s="14" t="n">
        <v>629</v>
      </c>
      <c r="J99" s="14" t="str">
        <f aca="false">IF(E99&lt;=100000,"Sim","Não")</f>
        <v>Sim</v>
      </c>
    </row>
    <row r="100" customFormat="false" ht="15" hidden="false" customHeight="false" outlineLevel="0" collapsed="false">
      <c r="A100" s="14" t="s">
        <v>155</v>
      </c>
      <c r="B100" s="14" t="s">
        <v>21</v>
      </c>
      <c r="C100" s="14" t="s">
        <v>22</v>
      </c>
      <c r="D100" s="15" t="n">
        <v>74116</v>
      </c>
      <c r="E100" s="15" t="n">
        <v>20032</v>
      </c>
      <c r="F100" s="16" t="n">
        <f aca="false">1-E100/D100</f>
        <v>0.729720977926494</v>
      </c>
      <c r="G100" s="14" t="n">
        <v>84</v>
      </c>
      <c r="H100" s="14" t="n">
        <v>720</v>
      </c>
      <c r="I100" s="14" t="n">
        <v>1080</v>
      </c>
      <c r="J100" s="14" t="str">
        <f aca="false">IF(E100&lt;=100000,"Sim","Não")</f>
        <v>Sim</v>
      </c>
    </row>
    <row r="101" customFormat="false" ht="15" hidden="false" customHeight="false" outlineLevel="0" collapsed="false">
      <c r="A101" s="14" t="s">
        <v>156</v>
      </c>
      <c r="B101" s="14" t="s">
        <v>23</v>
      </c>
      <c r="C101" s="14" t="s">
        <v>24</v>
      </c>
      <c r="D101" s="15" t="n">
        <v>220864</v>
      </c>
      <c r="E101" s="15" t="n">
        <v>86022</v>
      </c>
      <c r="F101" s="16" t="n">
        <f aca="false">1-E101/D101</f>
        <v>0.61052050130397</v>
      </c>
      <c r="G101" s="14" t="n">
        <v>76</v>
      </c>
      <c r="H101" s="14" t="n">
        <v>810</v>
      </c>
      <c r="I101" s="14" t="n">
        <v>1080</v>
      </c>
      <c r="J101" s="14" t="str">
        <f aca="false">IF(E101&lt;=100000,"Sim","Não")</f>
        <v>Sim</v>
      </c>
    </row>
    <row r="102" customFormat="false" ht="15" hidden="false" customHeight="false" outlineLevel="0" collapsed="false">
      <c r="A102" s="14" t="s">
        <v>157</v>
      </c>
      <c r="B102" s="14" t="s">
        <v>23</v>
      </c>
      <c r="C102" s="14" t="s">
        <v>24</v>
      </c>
      <c r="D102" s="15" t="n">
        <v>234238</v>
      </c>
      <c r="E102" s="15" t="n">
        <v>93236</v>
      </c>
      <c r="F102" s="16" t="n">
        <f aca="false">1-E102/D102</f>
        <v>0.601960399252043</v>
      </c>
      <c r="G102" s="14" t="n">
        <v>72</v>
      </c>
      <c r="H102" s="14" t="n">
        <v>875</v>
      </c>
      <c r="I102" s="14" t="n">
        <v>1080</v>
      </c>
      <c r="J102" s="14" t="str">
        <f aca="false">IF(E102&lt;=100000,"Sim","Não")</f>
        <v>Sim</v>
      </c>
    </row>
    <row r="103" customFormat="false" ht="15" hidden="false" customHeight="false" outlineLevel="0" collapsed="false">
      <c r="A103" s="14" t="s">
        <v>158</v>
      </c>
      <c r="B103" s="14" t="s">
        <v>23</v>
      </c>
      <c r="C103" s="14" t="s">
        <v>24</v>
      </c>
      <c r="D103" s="15" t="n">
        <v>160822</v>
      </c>
      <c r="E103" s="15" t="n">
        <v>81600</v>
      </c>
      <c r="F103" s="16" t="n">
        <f aca="false">1-E103/D103</f>
        <v>0.492606732909677</v>
      </c>
      <c r="G103" s="14" t="n">
        <v>84</v>
      </c>
      <c r="H103" s="14" t="n">
        <v>721</v>
      </c>
      <c r="I103" s="14" t="n">
        <v>1080</v>
      </c>
      <c r="J103" s="14" t="str">
        <f aca="false">IF(E103&lt;=100000,"Sim","Não")</f>
        <v>Sim</v>
      </c>
    </row>
    <row r="104" customFormat="false" ht="15" hidden="false" customHeight="false" outlineLevel="0" collapsed="false">
      <c r="A104" s="14" t="s">
        <v>159</v>
      </c>
      <c r="B104" s="14" t="s">
        <v>23</v>
      </c>
      <c r="C104" s="14" t="s">
        <v>24</v>
      </c>
      <c r="D104" s="15" t="n">
        <v>98943</v>
      </c>
      <c r="E104" s="15" t="n">
        <v>36818</v>
      </c>
      <c r="F104" s="16" t="n">
        <f aca="false">1-E104/D104</f>
        <v>0.627886763085817</v>
      </c>
      <c r="G104" s="14" t="n">
        <v>84</v>
      </c>
      <c r="H104" s="14" t="n">
        <v>818</v>
      </c>
      <c r="I104" s="14" t="n">
        <v>1080</v>
      </c>
      <c r="J104" s="14" t="str">
        <f aca="false">IF(E104&lt;=100000,"Sim","Não")</f>
        <v>Sim</v>
      </c>
    </row>
    <row r="105" customFormat="false" ht="15" hidden="false" customHeight="false" outlineLevel="0" collapsed="false">
      <c r="A105" s="14" t="s">
        <v>160</v>
      </c>
      <c r="B105" s="14" t="s">
        <v>23</v>
      </c>
      <c r="C105" s="14" t="s">
        <v>24</v>
      </c>
      <c r="D105" s="15" t="n">
        <v>166713</v>
      </c>
      <c r="E105" s="15" t="n">
        <v>77690</v>
      </c>
      <c r="F105" s="16" t="n">
        <f aca="false">1-E105/D105</f>
        <v>0.533989550904849</v>
      </c>
      <c r="G105" s="14" t="n">
        <v>84</v>
      </c>
      <c r="H105" s="14" t="n">
        <v>1080</v>
      </c>
      <c r="I105" s="14" t="n">
        <v>684</v>
      </c>
      <c r="J105" s="14" t="str">
        <f aca="false">IF(E105&lt;=100000,"Sim","Não")</f>
        <v>Sim</v>
      </c>
    </row>
    <row r="106" customFormat="false" ht="15" hidden="false" customHeight="false" outlineLevel="0" collapsed="false">
      <c r="A106" s="14" t="s">
        <v>161</v>
      </c>
      <c r="B106" s="14" t="s">
        <v>23</v>
      </c>
      <c r="C106" s="14" t="s">
        <v>24</v>
      </c>
      <c r="D106" s="15" t="n">
        <v>167386</v>
      </c>
      <c r="E106" s="15" t="n">
        <v>76164</v>
      </c>
      <c r="F106" s="16" t="n">
        <f aca="false">1-E106/D106</f>
        <v>0.544979866894483</v>
      </c>
      <c r="G106" s="14" t="n">
        <v>84</v>
      </c>
      <c r="H106" s="14" t="n">
        <v>1080</v>
      </c>
      <c r="I106" s="14" t="n">
        <v>810</v>
      </c>
      <c r="J106" s="14" t="str">
        <f aca="false">IF(E106&lt;=100000,"Sim","Não")</f>
        <v>Sim</v>
      </c>
    </row>
    <row r="107" customFormat="false" ht="15" hidden="false" customHeight="false" outlineLevel="0" collapsed="false">
      <c r="A107" s="14" t="s">
        <v>162</v>
      </c>
      <c r="B107" s="14" t="s">
        <v>23</v>
      </c>
      <c r="C107" s="14" t="s">
        <v>24</v>
      </c>
      <c r="D107" s="15" t="n">
        <v>180252</v>
      </c>
      <c r="E107" s="15" t="n">
        <v>93816</v>
      </c>
      <c r="F107" s="16" t="n">
        <f aca="false">1-E107/D107</f>
        <v>0.479528659876173</v>
      </c>
      <c r="G107" s="14" t="n">
        <v>84</v>
      </c>
      <c r="H107" s="14" t="n">
        <v>721</v>
      </c>
      <c r="I107" s="14" t="n">
        <v>1080</v>
      </c>
      <c r="J107" s="14" t="str">
        <f aca="false">IF(E107&lt;=100000,"Sim","Não")</f>
        <v>Sim</v>
      </c>
    </row>
    <row r="108" customFormat="false" ht="15" hidden="false" customHeight="false" outlineLevel="0" collapsed="false">
      <c r="A108" s="14" t="s">
        <v>163</v>
      </c>
      <c r="B108" s="14" t="s">
        <v>23</v>
      </c>
      <c r="C108" s="14" t="s">
        <v>24</v>
      </c>
      <c r="D108" s="15" t="n">
        <v>209076</v>
      </c>
      <c r="E108" s="15" t="n">
        <v>94196</v>
      </c>
      <c r="F108" s="16" t="n">
        <f aca="false">1-E108/D108</f>
        <v>0.549465266218983</v>
      </c>
      <c r="G108" s="14" t="n">
        <v>84</v>
      </c>
      <c r="H108" s="14" t="n">
        <v>720</v>
      </c>
      <c r="I108" s="14" t="n">
        <v>1080</v>
      </c>
      <c r="J108" s="14" t="str">
        <f aca="false">IF(E108&lt;=100000,"Sim","Não")</f>
        <v>Sim</v>
      </c>
    </row>
    <row r="109" customFormat="false" ht="15" hidden="false" customHeight="false" outlineLevel="0" collapsed="false">
      <c r="A109" s="14" t="s">
        <v>164</v>
      </c>
      <c r="B109" s="14" t="s">
        <v>23</v>
      </c>
      <c r="C109" s="14" t="s">
        <v>24</v>
      </c>
      <c r="D109" s="15" t="n">
        <v>125997</v>
      </c>
      <c r="E109" s="15" t="n">
        <v>49268</v>
      </c>
      <c r="F109" s="16" t="n">
        <f aca="false">1-E109/D109</f>
        <v>0.608974816860719</v>
      </c>
      <c r="G109" s="14" t="n">
        <v>84</v>
      </c>
      <c r="H109" s="14" t="n">
        <v>721</v>
      </c>
      <c r="I109" s="14" t="n">
        <v>1080</v>
      </c>
      <c r="J109" s="14" t="str">
        <f aca="false">IF(E109&lt;=100000,"Sim","Não")</f>
        <v>Sim</v>
      </c>
    </row>
    <row r="110" customFormat="false" ht="15" hidden="false" customHeight="false" outlineLevel="0" collapsed="false">
      <c r="A110" s="14" t="s">
        <v>165</v>
      </c>
      <c r="B110" s="14" t="s">
        <v>23</v>
      </c>
      <c r="C110" s="14" t="s">
        <v>24</v>
      </c>
      <c r="D110" s="15" t="n">
        <v>107904</v>
      </c>
      <c r="E110" s="15" t="n">
        <v>41490</v>
      </c>
      <c r="F110" s="16" t="n">
        <f aca="false">1-E110/D110</f>
        <v>0.615491548042705</v>
      </c>
      <c r="G110" s="14" t="n">
        <v>84</v>
      </c>
      <c r="H110" s="14" t="n">
        <v>721</v>
      </c>
      <c r="I110" s="14" t="n">
        <v>1080</v>
      </c>
      <c r="J110" s="14" t="str">
        <f aca="false">IF(E110&lt;=100000,"Sim","Não")</f>
        <v>Sim</v>
      </c>
    </row>
    <row r="111" customFormat="false" ht="15" hidden="false" customHeight="false" outlineLevel="0" collapsed="false">
      <c r="A111" s="14" t="s">
        <v>166</v>
      </c>
      <c r="B111" s="14" t="s">
        <v>23</v>
      </c>
      <c r="C111" s="14" t="s">
        <v>24</v>
      </c>
      <c r="D111" s="15" t="n">
        <v>141891</v>
      </c>
      <c r="E111" s="15" t="n">
        <v>64428</v>
      </c>
      <c r="F111" s="16" t="n">
        <f aca="false">1-E111/D111</f>
        <v>0.545933145865488</v>
      </c>
      <c r="G111" s="14" t="n">
        <v>84</v>
      </c>
      <c r="H111" s="14" t="n">
        <v>720</v>
      </c>
      <c r="I111" s="14" t="n">
        <v>1080</v>
      </c>
      <c r="J111" s="14" t="str">
        <f aca="false">IF(E111&lt;=100000,"Sim","Não")</f>
        <v>Sim</v>
      </c>
    </row>
    <row r="112" customFormat="false" ht="15" hidden="false" customHeight="false" outlineLevel="0" collapsed="false">
      <c r="A112" s="14" t="s">
        <v>167</v>
      </c>
      <c r="B112" s="14" t="s">
        <v>23</v>
      </c>
      <c r="C112" s="14" t="s">
        <v>24</v>
      </c>
      <c r="D112" s="15" t="n">
        <v>154278</v>
      </c>
      <c r="E112" s="15" t="n">
        <v>66074</v>
      </c>
      <c r="F112" s="16" t="n">
        <f aca="false">1-E112/D112</f>
        <v>0.571721178651525</v>
      </c>
      <c r="G112" s="14" t="n">
        <v>84</v>
      </c>
      <c r="H112" s="14" t="n">
        <v>720</v>
      </c>
      <c r="I112" s="14" t="n">
        <v>1080</v>
      </c>
      <c r="J112" s="14" t="str">
        <f aca="false">IF(E112&lt;=100000,"Sim","Não")</f>
        <v>Sim</v>
      </c>
    </row>
    <row r="113" customFormat="false" ht="15" hidden="false" customHeight="false" outlineLevel="0" collapsed="false">
      <c r="A113" s="14" t="s">
        <v>168</v>
      </c>
      <c r="B113" s="14" t="s">
        <v>23</v>
      </c>
      <c r="C113" s="14" t="s">
        <v>24</v>
      </c>
      <c r="D113" s="15" t="n">
        <v>202422</v>
      </c>
      <c r="E113" s="15" t="n">
        <v>92166</v>
      </c>
      <c r="F113" s="16" t="n">
        <f aca="false">1-E113/D113</f>
        <v>0.544683878234579</v>
      </c>
      <c r="G113" s="14" t="n">
        <v>84</v>
      </c>
      <c r="H113" s="14" t="n">
        <v>771</v>
      </c>
      <c r="I113" s="14" t="n">
        <v>1080</v>
      </c>
      <c r="J113" s="14" t="str">
        <f aca="false">IF(E113&lt;=100000,"Sim","Não")</f>
        <v>Sim</v>
      </c>
    </row>
    <row r="114" customFormat="false" ht="15" hidden="false" customHeight="false" outlineLevel="0" collapsed="false">
      <c r="A114" s="14" t="s">
        <v>169</v>
      </c>
      <c r="B114" s="14" t="s">
        <v>23</v>
      </c>
      <c r="C114" s="14" t="s">
        <v>24</v>
      </c>
      <c r="D114" s="15" t="n">
        <v>209249</v>
      </c>
      <c r="E114" s="15" t="n">
        <v>90054</v>
      </c>
      <c r="F114" s="16" t="n">
        <f aca="false">1-E114/D114</f>
        <v>0.569632351886986</v>
      </c>
      <c r="G114" s="14" t="n">
        <v>80</v>
      </c>
      <c r="H114" s="14" t="n">
        <v>812</v>
      </c>
      <c r="I114" s="14" t="n">
        <v>1080</v>
      </c>
      <c r="J114" s="14" t="str">
        <f aca="false">IF(E114&lt;=100000,"Sim","Não")</f>
        <v>Sim</v>
      </c>
    </row>
    <row r="115" customFormat="false" ht="15" hidden="false" customHeight="false" outlineLevel="0" collapsed="false">
      <c r="A115" s="14" t="s">
        <v>170</v>
      </c>
      <c r="B115" s="14" t="s">
        <v>23</v>
      </c>
      <c r="C115" s="14" t="s">
        <v>24</v>
      </c>
      <c r="D115" s="15" t="n">
        <v>118756</v>
      </c>
      <c r="E115" s="15" t="n">
        <v>44666</v>
      </c>
      <c r="F115" s="16" t="n">
        <f aca="false">1-E115/D115</f>
        <v>0.623884266900199</v>
      </c>
      <c r="G115" s="14" t="n">
        <v>84</v>
      </c>
      <c r="H115" s="14" t="n">
        <v>721</v>
      </c>
      <c r="I115" s="14" t="n">
        <v>1080</v>
      </c>
      <c r="J115" s="14" t="str">
        <f aca="false">IF(E115&lt;=100000,"Sim","Não")</f>
        <v>Sim</v>
      </c>
    </row>
    <row r="116" customFormat="false" ht="15" hidden="false" customHeight="false" outlineLevel="0" collapsed="false">
      <c r="A116" s="14" t="s">
        <v>171</v>
      </c>
      <c r="B116" s="14" t="s">
        <v>23</v>
      </c>
      <c r="C116" s="14" t="s">
        <v>24</v>
      </c>
      <c r="D116" s="15" t="n">
        <v>206006</v>
      </c>
      <c r="E116" s="15" t="n">
        <v>79482</v>
      </c>
      <c r="F116" s="16" t="n">
        <f aca="false">1-E116/D116</f>
        <v>0.614176286127589</v>
      </c>
      <c r="G116" s="14" t="n">
        <v>80</v>
      </c>
      <c r="H116" s="14" t="n">
        <v>771</v>
      </c>
      <c r="I116" s="14" t="n">
        <v>1080</v>
      </c>
      <c r="J116" s="14" t="str">
        <f aca="false">IF(E116&lt;=100000,"Sim","Não")</f>
        <v>Sim</v>
      </c>
    </row>
    <row r="117" customFormat="false" ht="15" hidden="false" customHeight="false" outlineLevel="0" collapsed="false">
      <c r="A117" s="14" t="s">
        <v>172</v>
      </c>
      <c r="B117" s="14" t="s">
        <v>23</v>
      </c>
      <c r="C117" s="14" t="s">
        <v>24</v>
      </c>
      <c r="D117" s="15" t="n">
        <v>104403</v>
      </c>
      <c r="E117" s="15" t="n">
        <v>37860</v>
      </c>
      <c r="F117" s="16" t="n">
        <f aca="false">1-E117/D117</f>
        <v>0.63736674233499</v>
      </c>
      <c r="G117" s="14" t="n">
        <v>84</v>
      </c>
      <c r="H117" s="14" t="n">
        <v>721</v>
      </c>
      <c r="I117" s="14" t="n">
        <v>1080</v>
      </c>
      <c r="J117" s="14" t="str">
        <f aca="false">IF(E117&lt;=100000,"Sim","Não")</f>
        <v>Sim</v>
      </c>
    </row>
    <row r="118" customFormat="false" ht="15" hidden="false" customHeight="false" outlineLevel="0" collapsed="false">
      <c r="A118" s="14" t="s">
        <v>173</v>
      </c>
      <c r="B118" s="14" t="s">
        <v>23</v>
      </c>
      <c r="C118" s="14" t="s">
        <v>24</v>
      </c>
      <c r="D118" s="15" t="n">
        <v>113009</v>
      </c>
      <c r="E118" s="15" t="n">
        <v>43432</v>
      </c>
      <c r="F118" s="16" t="n">
        <f aca="false">1-E118/D118</f>
        <v>0.615676627525241</v>
      </c>
      <c r="G118" s="14" t="n">
        <v>84</v>
      </c>
      <c r="H118" s="14" t="n">
        <v>721</v>
      </c>
      <c r="I118" s="14" t="n">
        <v>1080</v>
      </c>
      <c r="J118" s="14" t="str">
        <f aca="false">IF(E118&lt;=100000,"Sim","Não")</f>
        <v>Sim</v>
      </c>
    </row>
    <row r="119" customFormat="false" ht="15" hidden="false" customHeight="false" outlineLevel="0" collapsed="false">
      <c r="A119" s="14" t="s">
        <v>174</v>
      </c>
      <c r="B119" s="14" t="s">
        <v>23</v>
      </c>
      <c r="C119" s="14" t="s">
        <v>24</v>
      </c>
      <c r="D119" s="15" t="n">
        <v>215591</v>
      </c>
      <c r="E119" s="15" t="n">
        <v>93592</v>
      </c>
      <c r="F119" s="16" t="n">
        <f aca="false">1-E119/D119</f>
        <v>0.565881692649508</v>
      </c>
      <c r="G119" s="14" t="n">
        <v>80</v>
      </c>
      <c r="H119" s="14" t="n">
        <v>724</v>
      </c>
      <c r="I119" s="14" t="n">
        <v>1080</v>
      </c>
      <c r="J119" s="14" t="str">
        <f aca="false">IF(E119&lt;=100000,"Sim","Não")</f>
        <v>Sim</v>
      </c>
    </row>
    <row r="120" customFormat="false" ht="15" hidden="false" customHeight="false" outlineLevel="0" collapsed="false">
      <c r="A120" s="14" t="s">
        <v>175</v>
      </c>
      <c r="B120" s="14" t="s">
        <v>23</v>
      </c>
      <c r="C120" s="14" t="s">
        <v>24</v>
      </c>
      <c r="D120" s="15" t="n">
        <v>131385</v>
      </c>
      <c r="E120" s="15" t="n">
        <v>44698</v>
      </c>
      <c r="F120" s="16" t="n">
        <f aca="false">1-E120/D120</f>
        <v>0.659793735966815</v>
      </c>
      <c r="G120" s="14" t="n">
        <v>84</v>
      </c>
      <c r="H120" s="14" t="n">
        <v>791</v>
      </c>
      <c r="I120" s="14" t="n">
        <v>1080</v>
      </c>
      <c r="J120" s="14" t="str">
        <f aca="false">IF(E120&lt;=100000,"Sim","Não")</f>
        <v>Sim</v>
      </c>
    </row>
    <row r="121" customFormat="false" ht="15" hidden="false" customHeight="false" outlineLevel="0" collapsed="false">
      <c r="A121" s="14" t="s">
        <v>176</v>
      </c>
      <c r="B121" s="14" t="s">
        <v>23</v>
      </c>
      <c r="C121" s="14" t="s">
        <v>24</v>
      </c>
      <c r="D121" s="15" t="n">
        <v>225899</v>
      </c>
      <c r="E121" s="15" t="n">
        <v>86402</v>
      </c>
      <c r="F121" s="16" t="n">
        <f aca="false">1-E121/D121</f>
        <v>0.617519333861593</v>
      </c>
      <c r="G121" s="14" t="n">
        <v>80</v>
      </c>
      <c r="H121" s="14" t="n">
        <v>864</v>
      </c>
      <c r="I121" s="14" t="n">
        <v>1080</v>
      </c>
      <c r="J121" s="14" t="str">
        <f aca="false">IF(E121&lt;=100000,"Sim","Não")</f>
        <v>Sim</v>
      </c>
    </row>
    <row r="122" customFormat="false" ht="15" hidden="false" customHeight="false" outlineLevel="0" collapsed="false">
      <c r="A122" s="14" t="s">
        <v>177</v>
      </c>
      <c r="B122" s="14" t="s">
        <v>23</v>
      </c>
      <c r="C122" s="14" t="s">
        <v>24</v>
      </c>
      <c r="D122" s="15" t="n">
        <v>109564</v>
      </c>
      <c r="E122" s="15" t="n">
        <v>72738</v>
      </c>
      <c r="F122" s="16" t="n">
        <f aca="false">1-E122/D122</f>
        <v>0.336114052060896</v>
      </c>
      <c r="G122" s="14" t="n">
        <v>84</v>
      </c>
      <c r="H122" s="14" t="n">
        <v>735</v>
      </c>
      <c r="I122" s="14" t="n">
        <v>891</v>
      </c>
      <c r="J122" s="14" t="str">
        <f aca="false">IF(E122&lt;=100000,"Sim","Não")</f>
        <v>Sim</v>
      </c>
    </row>
    <row r="123" customFormat="false" ht="15" hidden="false" customHeight="false" outlineLevel="0" collapsed="false">
      <c r="A123" s="14" t="s">
        <v>178</v>
      </c>
      <c r="B123" s="14" t="s">
        <v>23</v>
      </c>
      <c r="C123" s="14" t="s">
        <v>24</v>
      </c>
      <c r="D123" s="15" t="n">
        <v>50441</v>
      </c>
      <c r="E123" s="15" t="n">
        <v>26592</v>
      </c>
      <c r="F123" s="16" t="n">
        <f aca="false">1-E123/D123</f>
        <v>0.47280981741044</v>
      </c>
      <c r="G123" s="14" t="n">
        <v>84</v>
      </c>
      <c r="H123" s="14" t="n">
        <v>736</v>
      </c>
      <c r="I123" s="14" t="n">
        <v>736</v>
      </c>
      <c r="J123" s="14" t="str">
        <f aca="false">IF(E123&lt;=100000,"Sim","Não")</f>
        <v>Sim</v>
      </c>
    </row>
    <row r="124" customFormat="false" ht="15" hidden="false" customHeight="false" outlineLevel="0" collapsed="false">
      <c r="A124" s="14" t="s">
        <v>179</v>
      </c>
      <c r="B124" s="14" t="s">
        <v>23</v>
      </c>
      <c r="C124" s="14" t="s">
        <v>24</v>
      </c>
      <c r="D124" s="15" t="n">
        <v>81586</v>
      </c>
      <c r="E124" s="15" t="n">
        <v>35172</v>
      </c>
      <c r="F124" s="16" t="n">
        <f aca="false">1-E124/D124</f>
        <v>0.568896624420857</v>
      </c>
      <c r="G124" s="14" t="n">
        <v>84</v>
      </c>
      <c r="H124" s="14" t="n">
        <v>607</v>
      </c>
      <c r="I124" s="14" t="n">
        <v>1080</v>
      </c>
      <c r="J124" s="14" t="str">
        <f aca="false">IF(E124&lt;=100000,"Sim","Não")</f>
        <v>Sim</v>
      </c>
    </row>
    <row r="125" customFormat="false" ht="15" hidden="false" customHeight="false" outlineLevel="0" collapsed="false">
      <c r="A125" s="14" t="s">
        <v>180</v>
      </c>
      <c r="B125" s="14" t="s">
        <v>23</v>
      </c>
      <c r="C125" s="14" t="s">
        <v>24</v>
      </c>
      <c r="D125" s="15" t="n">
        <v>119148</v>
      </c>
      <c r="E125" s="15" t="n">
        <v>54710</v>
      </c>
      <c r="F125" s="16" t="n">
        <f aca="false">1-E125/D125</f>
        <v>0.540823177896398</v>
      </c>
      <c r="G125" s="14" t="n">
        <v>84</v>
      </c>
      <c r="H125" s="14" t="n">
        <v>838</v>
      </c>
      <c r="I125" s="14" t="n">
        <v>1080</v>
      </c>
      <c r="J125" s="14" t="str">
        <f aca="false">IF(E125&lt;=100000,"Sim","Não")</f>
        <v>Sim</v>
      </c>
    </row>
    <row r="126" customFormat="false" ht="15" hidden="false" customHeight="false" outlineLevel="0" collapsed="false">
      <c r="A126" s="14" t="s">
        <v>181</v>
      </c>
      <c r="B126" s="14" t="s">
        <v>23</v>
      </c>
      <c r="C126" s="14" t="s">
        <v>24</v>
      </c>
      <c r="D126" s="15" t="n">
        <v>189510</v>
      </c>
      <c r="E126" s="15" t="n">
        <v>78002</v>
      </c>
      <c r="F126" s="16" t="n">
        <f aca="false">1-E126/D126</f>
        <v>0.588401667458182</v>
      </c>
      <c r="G126" s="14" t="n">
        <v>80</v>
      </c>
      <c r="H126" s="14" t="n">
        <v>864</v>
      </c>
      <c r="I126" s="14" t="n">
        <v>1080</v>
      </c>
      <c r="J126" s="14" t="str">
        <f aca="false">IF(E126&lt;=100000,"Sim","Não")</f>
        <v>Sim</v>
      </c>
    </row>
    <row r="127" customFormat="false" ht="15" hidden="false" customHeight="false" outlineLevel="0" collapsed="false">
      <c r="A127" s="14" t="s">
        <v>182</v>
      </c>
      <c r="B127" s="14" t="s">
        <v>23</v>
      </c>
      <c r="C127" s="14" t="s">
        <v>24</v>
      </c>
      <c r="D127" s="15" t="n">
        <v>163173</v>
      </c>
      <c r="E127" s="15" t="n">
        <v>87026</v>
      </c>
      <c r="F127" s="16" t="n">
        <f aca="false">1-E127/D127</f>
        <v>0.466664215280714</v>
      </c>
      <c r="G127" s="14" t="n">
        <v>84</v>
      </c>
      <c r="H127" s="14" t="n">
        <v>720</v>
      </c>
      <c r="I127" s="14" t="n">
        <v>1080</v>
      </c>
      <c r="J127" s="14" t="str">
        <f aca="false">IF(E127&lt;=100000,"Sim","Não")</f>
        <v>Sim</v>
      </c>
    </row>
    <row r="128" customFormat="false" ht="15" hidden="false" customHeight="false" outlineLevel="0" collapsed="false">
      <c r="A128" s="14" t="s">
        <v>183</v>
      </c>
      <c r="B128" s="14" t="s">
        <v>23</v>
      </c>
      <c r="C128" s="14" t="s">
        <v>24</v>
      </c>
      <c r="D128" s="15" t="n">
        <v>129177</v>
      </c>
      <c r="E128" s="15" t="n">
        <v>67744</v>
      </c>
      <c r="F128" s="16" t="n">
        <f aca="false">1-E128/D128</f>
        <v>0.475572276798501</v>
      </c>
      <c r="G128" s="14" t="n">
        <v>84</v>
      </c>
      <c r="H128" s="14" t="n">
        <v>1080</v>
      </c>
      <c r="I128" s="14" t="n">
        <v>1080</v>
      </c>
      <c r="J128" s="14" t="str">
        <f aca="false">IF(E128&lt;=100000,"Sim","Não")</f>
        <v>Sim</v>
      </c>
    </row>
    <row r="129" customFormat="false" ht="15" hidden="false" customHeight="false" outlineLevel="0" collapsed="false">
      <c r="A129" s="14" t="s">
        <v>184</v>
      </c>
      <c r="B129" s="14" t="s">
        <v>23</v>
      </c>
      <c r="C129" s="14" t="s">
        <v>24</v>
      </c>
      <c r="D129" s="15" t="n">
        <v>101654</v>
      </c>
      <c r="E129" s="15" t="n">
        <v>42768</v>
      </c>
      <c r="F129" s="16" t="n">
        <f aca="false">1-E129/D129</f>
        <v>0.57927872980896</v>
      </c>
      <c r="G129" s="14" t="n">
        <v>84</v>
      </c>
      <c r="H129" s="14" t="n">
        <v>792</v>
      </c>
      <c r="I129" s="14" t="n">
        <v>1080</v>
      </c>
      <c r="J129" s="14" t="str">
        <f aca="false">IF(E129&lt;=100000,"Sim","Não")</f>
        <v>Sim</v>
      </c>
    </row>
    <row r="130" customFormat="false" ht="15" hidden="false" customHeight="false" outlineLevel="0" collapsed="false">
      <c r="A130" s="14" t="s">
        <v>185</v>
      </c>
      <c r="B130" s="14" t="s">
        <v>23</v>
      </c>
      <c r="C130" s="14" t="s">
        <v>24</v>
      </c>
      <c r="D130" s="15" t="n">
        <v>112689</v>
      </c>
      <c r="E130" s="15" t="n">
        <v>77178</v>
      </c>
      <c r="F130" s="16" t="n">
        <f aca="false">1-E130/D130</f>
        <v>0.3151239251391</v>
      </c>
      <c r="G130" s="14" t="n">
        <v>84</v>
      </c>
      <c r="H130" s="14" t="n">
        <v>715</v>
      </c>
      <c r="I130" s="14" t="n">
        <v>1080</v>
      </c>
      <c r="J130" s="14" t="str">
        <f aca="false">IF(E130&lt;=100000,"Sim","Não")</f>
        <v>Sim</v>
      </c>
    </row>
    <row r="131" customFormat="false" ht="15" hidden="false" customHeight="false" outlineLevel="0" collapsed="false">
      <c r="A131" s="14" t="s">
        <v>186</v>
      </c>
      <c r="B131" s="14" t="s">
        <v>23</v>
      </c>
      <c r="C131" s="14" t="s">
        <v>24</v>
      </c>
      <c r="D131" s="15" t="n">
        <v>124081</v>
      </c>
      <c r="E131" s="15" t="n">
        <v>51036</v>
      </c>
      <c r="F131" s="16" t="n">
        <f aca="false">1-E131/D131</f>
        <v>0.588688034429123</v>
      </c>
      <c r="G131" s="14" t="n">
        <v>84</v>
      </c>
      <c r="H131" s="14" t="n">
        <v>842</v>
      </c>
      <c r="I131" s="14" t="n">
        <v>1080</v>
      </c>
      <c r="J131" s="14" t="str">
        <f aca="false">IF(E131&lt;=100000,"Sim","Não")</f>
        <v>Sim</v>
      </c>
    </row>
    <row r="132" customFormat="false" ht="15" hidden="false" customHeight="false" outlineLevel="0" collapsed="false">
      <c r="A132" s="14" t="s">
        <v>187</v>
      </c>
      <c r="B132" s="14" t="s">
        <v>23</v>
      </c>
      <c r="C132" s="14" t="s">
        <v>24</v>
      </c>
      <c r="D132" s="15" t="n">
        <v>85633</v>
      </c>
      <c r="E132" s="15" t="n">
        <v>53630</v>
      </c>
      <c r="F132" s="16" t="n">
        <f aca="false">1-E132/D132</f>
        <v>0.373722747071806</v>
      </c>
      <c r="G132" s="14" t="n">
        <v>84</v>
      </c>
      <c r="H132" s="14" t="n">
        <v>736</v>
      </c>
      <c r="I132" s="14" t="n">
        <v>920</v>
      </c>
      <c r="J132" s="14" t="str">
        <f aca="false">IF(E132&lt;=100000,"Sim","Não")</f>
        <v>Sim</v>
      </c>
    </row>
    <row r="133" customFormat="false" ht="15" hidden="false" customHeight="false" outlineLevel="0" collapsed="false">
      <c r="A133" s="14" t="s">
        <v>188</v>
      </c>
      <c r="B133" s="14" t="s">
        <v>23</v>
      </c>
      <c r="C133" s="14" t="s">
        <v>24</v>
      </c>
      <c r="D133" s="15" t="n">
        <v>104529</v>
      </c>
      <c r="E133" s="15" t="n">
        <v>62764</v>
      </c>
      <c r="F133" s="16" t="n">
        <f aca="false">1-E133/D133</f>
        <v>0.399554190703059</v>
      </c>
      <c r="G133" s="14" t="n">
        <v>84</v>
      </c>
      <c r="H133" s="14" t="n">
        <v>828</v>
      </c>
      <c r="I133" s="14" t="n">
        <v>1037</v>
      </c>
      <c r="J133" s="14" t="str">
        <f aca="false">IF(E133&lt;=100000,"Sim","Não")</f>
        <v>Sim</v>
      </c>
    </row>
    <row r="134" customFormat="false" ht="15" hidden="false" customHeight="false" outlineLevel="0" collapsed="false">
      <c r="A134" s="14" t="s">
        <v>189</v>
      </c>
      <c r="B134" s="14" t="s">
        <v>23</v>
      </c>
      <c r="C134" s="14" t="s">
        <v>24</v>
      </c>
      <c r="D134" s="15" t="n">
        <v>51370</v>
      </c>
      <c r="E134" s="15" t="n">
        <v>25768</v>
      </c>
      <c r="F134" s="16" t="n">
        <f aca="false">1-E134/D134</f>
        <v>0.498384270975277</v>
      </c>
      <c r="G134" s="14" t="n">
        <v>84</v>
      </c>
      <c r="H134" s="14" t="n">
        <v>720</v>
      </c>
      <c r="I134" s="14" t="n">
        <v>1080</v>
      </c>
      <c r="J134" s="14" t="str">
        <f aca="false">IF(E134&lt;=100000,"Sim","Não")</f>
        <v>Sim</v>
      </c>
    </row>
    <row r="135" customFormat="false" ht="15" hidden="false" customHeight="false" outlineLevel="0" collapsed="false">
      <c r="A135" s="14" t="s">
        <v>190</v>
      </c>
      <c r="B135" s="14" t="s">
        <v>23</v>
      </c>
      <c r="C135" s="14" t="s">
        <v>24</v>
      </c>
      <c r="D135" s="15" t="n">
        <v>94146</v>
      </c>
      <c r="E135" s="15" t="n">
        <v>58008</v>
      </c>
      <c r="F135" s="16" t="n">
        <f aca="false">1-E135/D135</f>
        <v>0.383850615002231</v>
      </c>
      <c r="G135" s="14" t="n">
        <v>84</v>
      </c>
      <c r="H135" s="14" t="n">
        <v>720</v>
      </c>
      <c r="I135" s="14" t="n">
        <v>1080</v>
      </c>
      <c r="J135" s="14" t="str">
        <f aca="false">IF(E135&lt;=100000,"Sim","Não")</f>
        <v>Sim</v>
      </c>
    </row>
    <row r="136" customFormat="false" ht="15" hidden="false" customHeight="false" outlineLevel="0" collapsed="false">
      <c r="A136" s="14" t="s">
        <v>191</v>
      </c>
      <c r="B136" s="14" t="s">
        <v>25</v>
      </c>
      <c r="C136" s="14" t="s">
        <v>26</v>
      </c>
      <c r="D136" s="15" t="n">
        <v>252356</v>
      </c>
      <c r="E136" s="15" t="n">
        <v>94880</v>
      </c>
      <c r="F136" s="16" t="n">
        <f aca="false">1-E136/D136</f>
        <v>0.624023205313129</v>
      </c>
      <c r="G136" s="14" t="n">
        <v>76</v>
      </c>
      <c r="H136" s="14" t="n">
        <v>864</v>
      </c>
      <c r="I136" s="14" t="n">
        <v>1080</v>
      </c>
      <c r="J136" s="14" t="str">
        <f aca="false">IF(E136&lt;=100000,"Sim","Não")</f>
        <v>Sim</v>
      </c>
    </row>
    <row r="137" customFormat="false" ht="15" hidden="false" customHeight="false" outlineLevel="0" collapsed="false">
      <c r="A137" s="14" t="s">
        <v>192</v>
      </c>
      <c r="B137" s="14" t="s">
        <v>25</v>
      </c>
      <c r="C137" s="14" t="s">
        <v>26</v>
      </c>
      <c r="D137" s="15" t="n">
        <v>133868</v>
      </c>
      <c r="E137" s="15" t="n">
        <v>59058</v>
      </c>
      <c r="F137" s="16" t="n">
        <f aca="false">1-E137/D137</f>
        <v>0.558834075357815</v>
      </c>
      <c r="G137" s="14" t="n">
        <v>84</v>
      </c>
      <c r="H137" s="14" t="n">
        <v>608</v>
      </c>
      <c r="I137" s="14" t="n">
        <v>1080</v>
      </c>
      <c r="J137" s="14" t="str">
        <f aca="false">IF(E137&lt;=100000,"Sim","Não")</f>
        <v>Sim</v>
      </c>
    </row>
    <row r="138" customFormat="false" ht="15" hidden="false" customHeight="false" outlineLevel="0" collapsed="false">
      <c r="A138" s="14" t="s">
        <v>193</v>
      </c>
      <c r="B138" s="14" t="s">
        <v>25</v>
      </c>
      <c r="C138" s="14" t="s">
        <v>26</v>
      </c>
      <c r="D138" s="15" t="n">
        <v>123296</v>
      </c>
      <c r="E138" s="15" t="n">
        <v>55660</v>
      </c>
      <c r="F138" s="16" t="n">
        <f aca="false">1-E138/D138</f>
        <v>0.54856605242668</v>
      </c>
      <c r="G138" s="14" t="n">
        <v>84</v>
      </c>
      <c r="H138" s="14" t="n">
        <v>720</v>
      </c>
      <c r="I138" s="14" t="n">
        <v>1080</v>
      </c>
      <c r="J138" s="14" t="str">
        <f aca="false">IF(E138&lt;=100000,"Sim","Não")</f>
        <v>Sim</v>
      </c>
    </row>
    <row r="139" customFormat="false" ht="15" hidden="false" customHeight="false" outlineLevel="0" collapsed="false">
      <c r="A139" s="14" t="s">
        <v>194</v>
      </c>
      <c r="B139" s="14" t="s">
        <v>25</v>
      </c>
      <c r="C139" s="14" t="s">
        <v>26</v>
      </c>
      <c r="D139" s="15" t="n">
        <v>206883</v>
      </c>
      <c r="E139" s="15" t="n">
        <v>82848</v>
      </c>
      <c r="F139" s="16" t="n">
        <f aca="false">1-E139/D139</f>
        <v>0.599541769985934</v>
      </c>
      <c r="G139" s="14" t="n">
        <v>76</v>
      </c>
      <c r="H139" s="14" t="n">
        <v>1080</v>
      </c>
      <c r="I139" s="14" t="n">
        <v>720</v>
      </c>
      <c r="J139" s="14" t="str">
        <f aca="false">IF(E139&lt;=100000,"Sim","Não")</f>
        <v>Sim</v>
      </c>
    </row>
    <row r="140" customFormat="false" ht="15" hidden="false" customHeight="false" outlineLevel="0" collapsed="false">
      <c r="A140" s="14" t="s">
        <v>195</v>
      </c>
      <c r="B140" s="14" t="s">
        <v>25</v>
      </c>
      <c r="C140" s="14" t="s">
        <v>26</v>
      </c>
      <c r="D140" s="15" t="n">
        <v>292225</v>
      </c>
      <c r="E140" s="15" t="n">
        <v>89848</v>
      </c>
      <c r="F140" s="16" t="n">
        <f aca="false">1-E140/D140</f>
        <v>0.692538283856617</v>
      </c>
      <c r="G140" s="14" t="n">
        <v>72</v>
      </c>
      <c r="H140" s="14" t="n">
        <v>676</v>
      </c>
      <c r="I140" s="14" t="n">
        <v>760</v>
      </c>
      <c r="J140" s="14" t="str">
        <f aca="false">IF(E140&lt;=100000,"Sim","Não")</f>
        <v>Sim</v>
      </c>
    </row>
    <row r="141" customFormat="false" ht="15" hidden="false" customHeight="false" outlineLevel="0" collapsed="false">
      <c r="A141" s="14" t="s">
        <v>196</v>
      </c>
      <c r="B141" s="14" t="s">
        <v>25</v>
      </c>
      <c r="C141" s="14" t="s">
        <v>26</v>
      </c>
      <c r="D141" s="15" t="n">
        <v>179539</v>
      </c>
      <c r="E141" s="15" t="n">
        <v>84190</v>
      </c>
      <c r="F141" s="16" t="n">
        <f aca="false">1-E141/D141</f>
        <v>0.531076813394304</v>
      </c>
      <c r="G141" s="14" t="n">
        <v>84</v>
      </c>
      <c r="H141" s="14" t="n">
        <v>727</v>
      </c>
      <c r="I141" s="14" t="n">
        <v>1080</v>
      </c>
      <c r="J141" s="14" t="str">
        <f aca="false">IF(E141&lt;=100000,"Sim","Não")</f>
        <v>Sim</v>
      </c>
    </row>
    <row r="142" customFormat="false" ht="15" hidden="false" customHeight="false" outlineLevel="0" collapsed="false">
      <c r="A142" s="14" t="s">
        <v>197</v>
      </c>
      <c r="B142" s="14" t="s">
        <v>25</v>
      </c>
      <c r="C142" s="14" t="s">
        <v>26</v>
      </c>
      <c r="D142" s="15" t="n">
        <v>245907</v>
      </c>
      <c r="E142" s="15" t="n">
        <v>92236</v>
      </c>
      <c r="F142" s="16" t="n">
        <f aca="false">1-E142/D142</f>
        <v>0.624915110183931</v>
      </c>
      <c r="G142" s="14" t="n">
        <v>72</v>
      </c>
      <c r="H142" s="14" t="n">
        <v>1080</v>
      </c>
      <c r="I142" s="14" t="n">
        <v>695</v>
      </c>
      <c r="J142" s="14" t="str">
        <f aca="false">IF(E142&lt;=100000,"Sim","Não")</f>
        <v>Sim</v>
      </c>
    </row>
    <row r="143" customFormat="false" ht="15" hidden="false" customHeight="false" outlineLevel="0" collapsed="false">
      <c r="A143" s="14" t="s">
        <v>198</v>
      </c>
      <c r="B143" s="14" t="s">
        <v>25</v>
      </c>
      <c r="C143" s="14" t="s">
        <v>26</v>
      </c>
      <c r="D143" s="15" t="n">
        <v>272619</v>
      </c>
      <c r="E143" s="15" t="n">
        <v>94522</v>
      </c>
      <c r="F143" s="16" t="n">
        <f aca="false">1-E143/D143</f>
        <v>0.65328168616274</v>
      </c>
      <c r="G143" s="14" t="n">
        <v>72</v>
      </c>
      <c r="H143" s="14" t="n">
        <v>667</v>
      </c>
      <c r="I143" s="14" t="n">
        <v>1000</v>
      </c>
      <c r="J143" s="14" t="str">
        <f aca="false">IF(E143&lt;=100000,"Sim","Não")</f>
        <v>Sim</v>
      </c>
    </row>
    <row r="144" customFormat="false" ht="15" hidden="false" customHeight="false" outlineLevel="0" collapsed="false">
      <c r="A144" s="14" t="s">
        <v>199</v>
      </c>
      <c r="B144" s="14" t="s">
        <v>25</v>
      </c>
      <c r="C144" s="14" t="s">
        <v>26</v>
      </c>
      <c r="D144" s="15" t="n">
        <v>156229</v>
      </c>
      <c r="E144" s="15" t="n">
        <v>73624</v>
      </c>
      <c r="F144" s="16" t="n">
        <f aca="false">1-E144/D144</f>
        <v>0.528743063067676</v>
      </c>
      <c r="G144" s="14" t="n">
        <v>84</v>
      </c>
      <c r="H144" s="14" t="n">
        <v>733</v>
      </c>
      <c r="I144" s="14" t="n">
        <v>1080</v>
      </c>
      <c r="J144" s="14" t="str">
        <f aca="false">IF(E144&lt;=100000,"Sim","Não")</f>
        <v>Sim</v>
      </c>
    </row>
    <row r="145" customFormat="false" ht="15" hidden="false" customHeight="false" outlineLevel="0" collapsed="false">
      <c r="A145" s="14" t="s">
        <v>200</v>
      </c>
      <c r="B145" s="14" t="s">
        <v>25</v>
      </c>
      <c r="C145" s="14" t="s">
        <v>26</v>
      </c>
      <c r="D145" s="15" t="n">
        <v>349624</v>
      </c>
      <c r="E145" s="15" t="n">
        <v>95372</v>
      </c>
      <c r="F145" s="16" t="n">
        <f aca="false">1-E145/D145</f>
        <v>0.727215522961811</v>
      </c>
      <c r="G145" s="14" t="n">
        <v>64</v>
      </c>
      <c r="H145" s="14" t="n">
        <v>736</v>
      </c>
      <c r="I145" s="14" t="n">
        <v>920</v>
      </c>
      <c r="J145" s="14" t="str">
        <f aca="false">IF(E145&lt;=100000,"Sim","Não")</f>
        <v>Sim</v>
      </c>
    </row>
    <row r="146" customFormat="false" ht="15" hidden="false" customHeight="false" outlineLevel="0" collapsed="false">
      <c r="A146" s="14" t="s">
        <v>201</v>
      </c>
      <c r="B146" s="14" t="s">
        <v>25</v>
      </c>
      <c r="C146" s="14" t="s">
        <v>26</v>
      </c>
      <c r="D146" s="15" t="n">
        <v>201289</v>
      </c>
      <c r="E146" s="15" t="n">
        <v>94868</v>
      </c>
      <c r="F146" s="16" t="n">
        <f aca="false">1-E146/D146</f>
        <v>0.528697544326814</v>
      </c>
      <c r="G146" s="14" t="n">
        <v>72</v>
      </c>
      <c r="H146" s="14" t="n">
        <v>808</v>
      </c>
      <c r="I146" s="14" t="n">
        <v>1080</v>
      </c>
      <c r="J146" s="14" t="str">
        <f aca="false">IF(E146&lt;=100000,"Sim","Não")</f>
        <v>Sim</v>
      </c>
    </row>
    <row r="147" customFormat="false" ht="15" hidden="false" customHeight="false" outlineLevel="0" collapsed="false">
      <c r="A147" s="14" t="s">
        <v>202</v>
      </c>
      <c r="B147" s="14" t="s">
        <v>25</v>
      </c>
      <c r="C147" s="14" t="s">
        <v>26</v>
      </c>
      <c r="D147" s="15" t="n">
        <v>265631</v>
      </c>
      <c r="E147" s="15" t="n">
        <v>93436</v>
      </c>
      <c r="F147" s="16" t="n">
        <f aca="false">1-E147/D147</f>
        <v>0.648248886613385</v>
      </c>
      <c r="G147" s="14" t="n">
        <v>72</v>
      </c>
      <c r="H147" s="14" t="n">
        <v>667</v>
      </c>
      <c r="I147" s="14" t="n">
        <v>1000</v>
      </c>
      <c r="J147" s="14" t="str">
        <f aca="false">IF(E147&lt;=100000,"Sim","Não")</f>
        <v>Sim</v>
      </c>
    </row>
    <row r="148" customFormat="false" ht="15" hidden="false" customHeight="false" outlineLevel="0" collapsed="false">
      <c r="A148" s="14" t="s">
        <v>203</v>
      </c>
      <c r="B148" s="14" t="s">
        <v>25</v>
      </c>
      <c r="C148" s="14" t="s">
        <v>26</v>
      </c>
      <c r="D148" s="15" t="n">
        <v>274217</v>
      </c>
      <c r="E148" s="15" t="n">
        <v>93874</v>
      </c>
      <c r="F148" s="16" t="n">
        <f aca="false">1-E148/D148</f>
        <v>0.657665279687255</v>
      </c>
      <c r="G148" s="14" t="n">
        <v>68</v>
      </c>
      <c r="H148" s="14" t="n">
        <v>1000</v>
      </c>
      <c r="I148" s="14" t="n">
        <v>668</v>
      </c>
      <c r="J148" s="14" t="str">
        <f aca="false">IF(E148&lt;=100000,"Sim","Não")</f>
        <v>Sim</v>
      </c>
    </row>
    <row r="149" customFormat="false" ht="15" hidden="false" customHeight="false" outlineLevel="0" collapsed="false">
      <c r="A149" s="14" t="s">
        <v>204</v>
      </c>
      <c r="B149" s="14" t="s">
        <v>25</v>
      </c>
      <c r="C149" s="14" t="s">
        <v>26</v>
      </c>
      <c r="D149" s="15" t="n">
        <v>321632</v>
      </c>
      <c r="E149" s="15" t="n">
        <v>96150</v>
      </c>
      <c r="F149" s="16" t="n">
        <f aca="false">1-E149/D149</f>
        <v>0.701055865088051</v>
      </c>
      <c r="G149" s="14" t="n">
        <v>72</v>
      </c>
      <c r="H149" s="14" t="n">
        <v>840</v>
      </c>
      <c r="I149" s="14" t="n">
        <v>560</v>
      </c>
      <c r="J149" s="14" t="str">
        <f aca="false">IF(E149&lt;=100000,"Sim","Não")</f>
        <v>Sim</v>
      </c>
    </row>
    <row r="150" customFormat="false" ht="15" hidden="false" customHeight="false" outlineLevel="0" collapsed="false">
      <c r="A150" s="14" t="s">
        <v>205</v>
      </c>
      <c r="B150" s="14" t="s">
        <v>25</v>
      </c>
      <c r="C150" s="14" t="s">
        <v>26</v>
      </c>
      <c r="D150" s="15" t="n">
        <v>234285</v>
      </c>
      <c r="E150" s="15" t="n">
        <v>96140</v>
      </c>
      <c r="F150" s="16" t="n">
        <f aca="false">1-E150/D150</f>
        <v>0.589645090381373</v>
      </c>
      <c r="G150" s="14" t="n">
        <v>76</v>
      </c>
      <c r="H150" s="14" t="n">
        <v>721</v>
      </c>
      <c r="I150" s="14" t="n">
        <v>1080</v>
      </c>
      <c r="J150" s="14" t="str">
        <f aca="false">IF(E150&lt;=100000,"Sim","Não")</f>
        <v>Sim</v>
      </c>
    </row>
    <row r="151" customFormat="false" ht="15" hidden="false" customHeight="false" outlineLevel="0" collapsed="false">
      <c r="A151" s="14" t="s">
        <v>206</v>
      </c>
      <c r="B151" s="14" t="s">
        <v>25</v>
      </c>
      <c r="C151" s="14" t="s">
        <v>26</v>
      </c>
      <c r="D151" s="15" t="n">
        <v>331756</v>
      </c>
      <c r="E151" s="15" t="n">
        <v>93858</v>
      </c>
      <c r="F151" s="16" t="n">
        <f aca="false">1-E151/D151</f>
        <v>0.717087256899649</v>
      </c>
      <c r="G151" s="14" t="n">
        <v>64</v>
      </c>
      <c r="H151" s="14" t="n">
        <v>840</v>
      </c>
      <c r="I151" s="14" t="n">
        <v>561</v>
      </c>
      <c r="J151" s="14" t="str">
        <f aca="false">IF(E151&lt;=100000,"Sim","Não")</f>
        <v>Sim</v>
      </c>
    </row>
    <row r="152" customFormat="false" ht="15" hidden="false" customHeight="false" outlineLevel="0" collapsed="false">
      <c r="A152" s="14" t="s">
        <v>207</v>
      </c>
      <c r="B152" s="14" t="s">
        <v>25</v>
      </c>
      <c r="C152" s="14" t="s">
        <v>26</v>
      </c>
      <c r="D152" s="15" t="n">
        <v>243185</v>
      </c>
      <c r="E152" s="15" t="n">
        <v>95242</v>
      </c>
      <c r="F152" s="16" t="n">
        <f aca="false">1-E152/D152</f>
        <v>0.608355778522524</v>
      </c>
      <c r="G152" s="14" t="n">
        <v>72</v>
      </c>
      <c r="H152" s="14" t="n">
        <v>1080</v>
      </c>
      <c r="I152" s="14" t="n">
        <v>720</v>
      </c>
      <c r="J152" s="14" t="str">
        <f aca="false">IF(E152&lt;=100000,"Sim","Não")</f>
        <v>Sim</v>
      </c>
    </row>
    <row r="153" customFormat="false" ht="15" hidden="false" customHeight="false" outlineLevel="0" collapsed="false">
      <c r="A153" s="14" t="s">
        <v>208</v>
      </c>
      <c r="B153" s="14" t="s">
        <v>25</v>
      </c>
      <c r="C153" s="14" t="s">
        <v>26</v>
      </c>
      <c r="D153" s="15" t="n">
        <v>201449</v>
      </c>
      <c r="E153" s="15" t="n">
        <v>95904</v>
      </c>
      <c r="F153" s="16" t="n">
        <f aca="false">1-E153/D153</f>
        <v>0.523929133428312</v>
      </c>
      <c r="G153" s="14" t="n">
        <v>84</v>
      </c>
      <c r="H153" s="14" t="n">
        <v>810</v>
      </c>
      <c r="I153" s="14" t="n">
        <v>1080</v>
      </c>
      <c r="J153" s="14" t="str">
        <f aca="false">IF(E153&lt;=100000,"Sim","Não")</f>
        <v>Sim</v>
      </c>
    </row>
    <row r="154" customFormat="false" ht="15" hidden="false" customHeight="false" outlineLevel="0" collapsed="false">
      <c r="A154" s="14" t="s">
        <v>209</v>
      </c>
      <c r="B154" s="14" t="s">
        <v>25</v>
      </c>
      <c r="C154" s="14" t="s">
        <v>26</v>
      </c>
      <c r="D154" s="15" t="n">
        <v>151667</v>
      </c>
      <c r="E154" s="15" t="n">
        <v>73218</v>
      </c>
      <c r="F154" s="16" t="n">
        <f aca="false">1-E154/D154</f>
        <v>0.517245017043919</v>
      </c>
      <c r="G154" s="14" t="n">
        <v>84</v>
      </c>
      <c r="H154" s="14" t="n">
        <v>721</v>
      </c>
      <c r="I154" s="14" t="n">
        <v>1080</v>
      </c>
      <c r="J154" s="14" t="str">
        <f aca="false">IF(E154&lt;=100000,"Sim","Não")</f>
        <v>Sim</v>
      </c>
    </row>
    <row r="155" customFormat="false" ht="15" hidden="false" customHeight="false" outlineLevel="0" collapsed="false">
      <c r="A155" s="14" t="s">
        <v>210</v>
      </c>
      <c r="B155" s="14" t="s">
        <v>25</v>
      </c>
      <c r="C155" s="14" t="s">
        <v>26</v>
      </c>
      <c r="D155" s="15" t="n">
        <v>214137</v>
      </c>
      <c r="E155" s="15" t="n">
        <v>84376</v>
      </c>
      <c r="F155" s="16" t="n">
        <f aca="false">1-E155/D155</f>
        <v>0.605971877816538</v>
      </c>
      <c r="G155" s="14" t="n">
        <v>76</v>
      </c>
      <c r="H155" s="14" t="n">
        <v>864</v>
      </c>
      <c r="I155" s="14" t="n">
        <v>1080</v>
      </c>
      <c r="J155" s="14" t="str">
        <f aca="false">IF(E155&lt;=100000,"Sim","Não")</f>
        <v>Sim</v>
      </c>
    </row>
    <row r="156" customFormat="false" ht="15" hidden="false" customHeight="false" outlineLevel="0" collapsed="false">
      <c r="A156" s="14" t="s">
        <v>211</v>
      </c>
      <c r="B156" s="14" t="s">
        <v>25</v>
      </c>
      <c r="C156" s="14" t="s">
        <v>26</v>
      </c>
      <c r="D156" s="15" t="n">
        <v>118029</v>
      </c>
      <c r="E156" s="15" t="n">
        <v>86834</v>
      </c>
      <c r="F156" s="16" t="n">
        <f aca="false">1-E156/D156</f>
        <v>0.264299451829635</v>
      </c>
      <c r="G156" s="14" t="n">
        <v>80</v>
      </c>
      <c r="H156" s="14" t="n">
        <v>640</v>
      </c>
      <c r="I156" s="14" t="n">
        <v>853</v>
      </c>
      <c r="J156" s="14" t="str">
        <f aca="false">IF(E156&lt;=100000,"Sim","Não")</f>
        <v>Sim</v>
      </c>
    </row>
    <row r="157" customFormat="false" ht="15" hidden="false" customHeight="false" outlineLevel="0" collapsed="false">
      <c r="A157" s="14" t="s">
        <v>212</v>
      </c>
      <c r="B157" s="14" t="s">
        <v>25</v>
      </c>
      <c r="C157" s="14" t="s">
        <v>26</v>
      </c>
      <c r="D157" s="15" t="n">
        <v>115695</v>
      </c>
      <c r="E157" s="15" t="n">
        <v>64260</v>
      </c>
      <c r="F157" s="16" t="n">
        <f aca="false">1-E157/D157</f>
        <v>0.444574095682614</v>
      </c>
      <c r="G157" s="14" t="n">
        <v>84</v>
      </c>
      <c r="H157" s="14" t="n">
        <v>720</v>
      </c>
      <c r="I157" s="14" t="n">
        <v>1080</v>
      </c>
      <c r="J157" s="14" t="str">
        <f aca="false">IF(E157&lt;=100000,"Sim","Não")</f>
        <v>Sim</v>
      </c>
    </row>
    <row r="158" customFormat="false" ht="15" hidden="false" customHeight="false" outlineLevel="0" collapsed="false">
      <c r="A158" s="14" t="s">
        <v>213</v>
      </c>
      <c r="B158" s="14" t="s">
        <v>25</v>
      </c>
      <c r="C158" s="14" t="s">
        <v>26</v>
      </c>
      <c r="D158" s="15" t="n">
        <v>204862</v>
      </c>
      <c r="E158" s="15" t="n">
        <v>85460</v>
      </c>
      <c r="F158" s="16" t="n">
        <f aca="false">1-E158/D158</f>
        <v>0.582841132079156</v>
      </c>
      <c r="G158" s="14" t="n">
        <v>76</v>
      </c>
      <c r="H158" s="14" t="n">
        <v>880</v>
      </c>
      <c r="I158" s="14" t="n">
        <v>1080</v>
      </c>
      <c r="J158" s="14" t="str">
        <f aca="false">IF(E158&lt;=100000,"Sim","Não")</f>
        <v>Sim</v>
      </c>
    </row>
    <row r="159" customFormat="false" ht="15" hidden="false" customHeight="false" outlineLevel="0" collapsed="false">
      <c r="A159" s="14" t="s">
        <v>214</v>
      </c>
      <c r="B159" s="14" t="s">
        <v>25</v>
      </c>
      <c r="C159" s="14" t="s">
        <v>26</v>
      </c>
      <c r="D159" s="15" t="n">
        <v>122306</v>
      </c>
      <c r="E159" s="15" t="n">
        <v>80896</v>
      </c>
      <c r="F159" s="16" t="n">
        <f aca="false">1-E159/D159</f>
        <v>0.338577011757395</v>
      </c>
      <c r="G159" s="14" t="n">
        <v>80</v>
      </c>
      <c r="H159" s="14" t="n">
        <v>736</v>
      </c>
      <c r="I159" s="14" t="n">
        <v>981</v>
      </c>
      <c r="J159" s="14" t="str">
        <f aca="false">IF(E159&lt;=100000,"Sim","Não")</f>
        <v>Sim</v>
      </c>
    </row>
    <row r="160" customFormat="false" ht="15" hidden="false" customHeight="false" outlineLevel="0" collapsed="false">
      <c r="A160" s="14" t="s">
        <v>215</v>
      </c>
      <c r="B160" s="14" t="s">
        <v>25</v>
      </c>
      <c r="C160" s="14" t="s">
        <v>26</v>
      </c>
      <c r="D160" s="15" t="n">
        <v>238583</v>
      </c>
      <c r="E160" s="15" t="n">
        <v>94662</v>
      </c>
      <c r="F160" s="16" t="n">
        <f aca="false">1-E160/D160</f>
        <v>0.603232418068345</v>
      </c>
      <c r="G160" s="14" t="n">
        <v>72</v>
      </c>
      <c r="H160" s="14" t="n">
        <v>882</v>
      </c>
      <c r="I160" s="14" t="n">
        <v>1080</v>
      </c>
      <c r="J160" s="14" t="str">
        <f aca="false">IF(E160&lt;=100000,"Sim","Não")</f>
        <v>Sim</v>
      </c>
    </row>
    <row r="161" customFormat="false" ht="15" hidden="false" customHeight="false" outlineLevel="0" collapsed="false">
      <c r="A161" s="14" t="s">
        <v>216</v>
      </c>
      <c r="B161" s="14" t="s">
        <v>25</v>
      </c>
      <c r="C161" s="14" t="s">
        <v>26</v>
      </c>
      <c r="D161" s="15" t="n">
        <v>150541</v>
      </c>
      <c r="E161" s="15" t="n">
        <v>88408</v>
      </c>
      <c r="F161" s="16" t="n">
        <f aca="false">1-E161/D161</f>
        <v>0.412731415361928</v>
      </c>
      <c r="G161" s="14" t="n">
        <v>84</v>
      </c>
      <c r="H161" s="14" t="n">
        <v>778</v>
      </c>
      <c r="I161" s="14" t="n">
        <v>1080</v>
      </c>
      <c r="J161" s="14" t="str">
        <f aca="false">IF(E161&lt;=100000,"Sim","Não")</f>
        <v>Sim</v>
      </c>
    </row>
    <row r="162" customFormat="false" ht="15" hidden="false" customHeight="false" outlineLevel="0" collapsed="false">
      <c r="A162" s="14" t="s">
        <v>217</v>
      </c>
      <c r="B162" s="14" t="s">
        <v>25</v>
      </c>
      <c r="C162" s="14" t="s">
        <v>26</v>
      </c>
      <c r="D162" s="15" t="n">
        <v>72644</v>
      </c>
      <c r="E162" s="15" t="n">
        <v>43506</v>
      </c>
      <c r="F162" s="16" t="n">
        <f aca="false">1-E162/D162</f>
        <v>0.4011067672485</v>
      </c>
      <c r="G162" s="14" t="n">
        <v>84</v>
      </c>
      <c r="H162" s="14" t="n">
        <v>736</v>
      </c>
      <c r="I162" s="14" t="n">
        <v>920</v>
      </c>
      <c r="J162" s="14" t="str">
        <f aca="false">IF(E162&lt;=100000,"Sim","Não")</f>
        <v>Sim</v>
      </c>
    </row>
    <row r="163" customFormat="false" ht="15" hidden="false" customHeight="false" outlineLevel="0" collapsed="false">
      <c r="A163" s="14" t="s">
        <v>218</v>
      </c>
      <c r="B163" s="14" t="s">
        <v>25</v>
      </c>
      <c r="C163" s="14" t="s">
        <v>26</v>
      </c>
      <c r="D163" s="15" t="n">
        <v>259321</v>
      </c>
      <c r="E163" s="15" t="n">
        <v>95330</v>
      </c>
      <c r="F163" s="16" t="n">
        <f aca="false">1-E163/D163</f>
        <v>0.632386116049221</v>
      </c>
      <c r="G163" s="14" t="n">
        <v>68</v>
      </c>
      <c r="H163" s="14" t="n">
        <v>806</v>
      </c>
      <c r="I163" s="14" t="n">
        <v>1000</v>
      </c>
      <c r="J163" s="14" t="str">
        <f aca="false">IF(E163&lt;=100000,"Sim","Não")</f>
        <v>Sim</v>
      </c>
    </row>
    <row r="164" customFormat="false" ht="15" hidden="false" customHeight="false" outlineLevel="0" collapsed="false">
      <c r="A164" s="14" t="s">
        <v>219</v>
      </c>
      <c r="B164" s="14" t="s">
        <v>25</v>
      </c>
      <c r="C164" s="14" t="s">
        <v>26</v>
      </c>
      <c r="D164" s="15" t="n">
        <v>345844</v>
      </c>
      <c r="E164" s="15" t="n">
        <v>96260</v>
      </c>
      <c r="F164" s="16" t="n">
        <f aca="false">1-E164/D164</f>
        <v>0.721666416071986</v>
      </c>
      <c r="G164" s="14" t="n">
        <v>64</v>
      </c>
      <c r="H164" s="14" t="n">
        <v>920</v>
      </c>
      <c r="I164" s="14" t="n">
        <v>920</v>
      </c>
      <c r="J164" s="14" t="str">
        <f aca="false">IF(E164&lt;=100000,"Sim","Não")</f>
        <v>Sim</v>
      </c>
    </row>
    <row r="165" customFormat="false" ht="15" hidden="false" customHeight="false" outlineLevel="0" collapsed="false">
      <c r="A165" s="14" t="s">
        <v>220</v>
      </c>
      <c r="B165" s="14" t="s">
        <v>25</v>
      </c>
      <c r="C165" s="14" t="s">
        <v>26</v>
      </c>
      <c r="D165" s="15" t="n">
        <v>120977</v>
      </c>
      <c r="E165" s="15" t="n">
        <v>78266</v>
      </c>
      <c r="F165" s="16" t="n">
        <f aca="false">1-E165/D165</f>
        <v>0.353050579862288</v>
      </c>
      <c r="G165" s="14" t="n">
        <v>84</v>
      </c>
      <c r="H165" s="14" t="n">
        <v>828</v>
      </c>
      <c r="I165" s="14" t="n">
        <v>1021</v>
      </c>
      <c r="J165" s="14" t="str">
        <f aca="false">IF(E165&lt;=100000,"Sim","Não")</f>
        <v>Sim</v>
      </c>
    </row>
    <row r="166" customFormat="false" ht="15" hidden="false" customHeight="false" outlineLevel="0" collapsed="false">
      <c r="A166" s="14" t="s">
        <v>221</v>
      </c>
      <c r="B166" s="14" t="s">
        <v>27</v>
      </c>
      <c r="C166" s="14" t="s">
        <v>28</v>
      </c>
      <c r="D166" s="15" t="n">
        <v>107562</v>
      </c>
      <c r="E166" s="15" t="n">
        <v>41956</v>
      </c>
      <c r="F166" s="16" t="n">
        <f aca="false">1-E166/D166</f>
        <v>0.609936594708168</v>
      </c>
      <c r="G166" s="14" t="n">
        <v>84</v>
      </c>
      <c r="H166" s="14" t="n">
        <v>721</v>
      </c>
      <c r="I166" s="14" t="n">
        <v>1080</v>
      </c>
      <c r="J166" s="14" t="str">
        <f aca="false">IF(E166&lt;=100000,"Sim","Não")</f>
        <v>Sim</v>
      </c>
    </row>
    <row r="167" customFormat="false" ht="15" hidden="false" customHeight="false" outlineLevel="0" collapsed="false">
      <c r="A167" s="14" t="s">
        <v>222</v>
      </c>
      <c r="B167" s="14" t="s">
        <v>27</v>
      </c>
      <c r="C167" s="14" t="s">
        <v>28</v>
      </c>
      <c r="D167" s="15" t="n">
        <v>143299</v>
      </c>
      <c r="E167" s="15" t="n">
        <v>66346</v>
      </c>
      <c r="F167" s="16" t="n">
        <f aca="false">1-E167/D167</f>
        <v>0.537010027983447</v>
      </c>
      <c r="G167" s="14" t="n">
        <v>84</v>
      </c>
      <c r="H167" s="14" t="n">
        <v>741</v>
      </c>
      <c r="I167" s="14" t="n">
        <v>1080</v>
      </c>
      <c r="J167" s="14" t="str">
        <f aca="false">IF(E167&lt;=100000,"Sim","Não")</f>
        <v>Sim</v>
      </c>
    </row>
    <row r="168" customFormat="false" ht="15" hidden="false" customHeight="false" outlineLevel="0" collapsed="false">
      <c r="A168" s="14" t="s">
        <v>223</v>
      </c>
      <c r="B168" s="14" t="s">
        <v>27</v>
      </c>
      <c r="C168" s="14" t="s">
        <v>28</v>
      </c>
      <c r="D168" s="15" t="n">
        <v>204868</v>
      </c>
      <c r="E168" s="15" t="n">
        <v>89110</v>
      </c>
      <c r="F168" s="16" t="n">
        <f aca="false">1-E168/D168</f>
        <v>0.565036999433782</v>
      </c>
      <c r="G168" s="14" t="n">
        <v>80</v>
      </c>
      <c r="H168" s="14" t="n">
        <v>810</v>
      </c>
      <c r="I168" s="14" t="n">
        <v>1080</v>
      </c>
      <c r="J168" s="14" t="str">
        <f aca="false">IF(E168&lt;=100000,"Sim","Não")</f>
        <v>Sim</v>
      </c>
    </row>
    <row r="169" customFormat="false" ht="15" hidden="false" customHeight="false" outlineLevel="0" collapsed="false">
      <c r="A169" s="14" t="s">
        <v>224</v>
      </c>
      <c r="B169" s="14" t="s">
        <v>27</v>
      </c>
      <c r="C169" s="14" t="s">
        <v>28</v>
      </c>
      <c r="D169" s="15" t="n">
        <v>161911</v>
      </c>
      <c r="E169" s="15" t="n">
        <v>87394</v>
      </c>
      <c r="F169" s="16" t="n">
        <f aca="false">1-E169/D169</f>
        <v>0.460234326265665</v>
      </c>
      <c r="G169" s="14" t="n">
        <v>84</v>
      </c>
      <c r="H169" s="14" t="n">
        <v>732</v>
      </c>
      <c r="I169" s="14" t="n">
        <v>1080</v>
      </c>
      <c r="J169" s="14" t="str">
        <f aca="false">IF(E169&lt;=100000,"Sim","Não")</f>
        <v>Sim</v>
      </c>
    </row>
    <row r="170" customFormat="false" ht="15" hidden="false" customHeight="false" outlineLevel="0" collapsed="false">
      <c r="A170" s="14" t="s">
        <v>225</v>
      </c>
      <c r="B170" s="14" t="s">
        <v>27</v>
      </c>
      <c r="C170" s="14" t="s">
        <v>28</v>
      </c>
      <c r="D170" s="15" t="n">
        <v>205999</v>
      </c>
      <c r="E170" s="15" t="n">
        <v>88142</v>
      </c>
      <c r="F170" s="16" t="n">
        <f aca="false">1-E170/D170</f>
        <v>0.572124136524935</v>
      </c>
      <c r="G170" s="14" t="n">
        <v>76</v>
      </c>
      <c r="H170" s="14" t="n">
        <v>816</v>
      </c>
      <c r="I170" s="14" t="n">
        <v>1080</v>
      </c>
      <c r="J170" s="14" t="str">
        <f aca="false">IF(E170&lt;=100000,"Sim","Não")</f>
        <v>Sim</v>
      </c>
    </row>
    <row r="171" customFormat="false" ht="15" hidden="false" customHeight="false" outlineLevel="0" collapsed="false">
      <c r="A171" s="14" t="s">
        <v>226</v>
      </c>
      <c r="B171" s="14" t="s">
        <v>27</v>
      </c>
      <c r="C171" s="14" t="s">
        <v>28</v>
      </c>
      <c r="D171" s="15" t="n">
        <v>142992</v>
      </c>
      <c r="E171" s="15" t="n">
        <v>60512</v>
      </c>
      <c r="F171" s="16" t="n">
        <f aca="false">1-E171/D171</f>
        <v>0.576815486181045</v>
      </c>
      <c r="G171" s="14" t="n">
        <v>84</v>
      </c>
      <c r="H171" s="14" t="n">
        <v>810</v>
      </c>
      <c r="I171" s="14" t="n">
        <v>1080</v>
      </c>
      <c r="J171" s="14" t="str">
        <f aca="false">IF(E171&lt;=100000,"Sim","Não")</f>
        <v>Sim</v>
      </c>
    </row>
    <row r="172" customFormat="false" ht="15" hidden="false" customHeight="false" outlineLevel="0" collapsed="false">
      <c r="A172" s="14" t="s">
        <v>227</v>
      </c>
      <c r="B172" s="14" t="s">
        <v>27</v>
      </c>
      <c r="C172" s="14" t="s">
        <v>28</v>
      </c>
      <c r="D172" s="15" t="n">
        <v>226713</v>
      </c>
      <c r="E172" s="15" t="n">
        <v>91318</v>
      </c>
      <c r="F172" s="16" t="n">
        <f aca="false">1-E172/D172</f>
        <v>0.59720880584704</v>
      </c>
      <c r="G172" s="14" t="n">
        <v>76</v>
      </c>
      <c r="H172" s="14" t="n">
        <v>864</v>
      </c>
      <c r="I172" s="14" t="n">
        <v>1080</v>
      </c>
      <c r="J172" s="14" t="str">
        <f aca="false">IF(E172&lt;=100000,"Sim","Não")</f>
        <v>Sim</v>
      </c>
    </row>
    <row r="173" customFormat="false" ht="15" hidden="false" customHeight="false" outlineLevel="0" collapsed="false">
      <c r="A173" s="14" t="s">
        <v>228</v>
      </c>
      <c r="B173" s="14" t="s">
        <v>27</v>
      </c>
      <c r="C173" s="14" t="s">
        <v>28</v>
      </c>
      <c r="D173" s="15" t="n">
        <v>130836</v>
      </c>
      <c r="E173" s="15" t="n">
        <v>57404</v>
      </c>
      <c r="F173" s="16" t="n">
        <f aca="false">1-E173/D173</f>
        <v>0.561252254731114</v>
      </c>
      <c r="G173" s="14" t="n">
        <v>84</v>
      </c>
      <c r="H173" s="14" t="n">
        <v>721</v>
      </c>
      <c r="I173" s="14" t="n">
        <v>1080</v>
      </c>
      <c r="J173" s="14" t="str">
        <f aca="false">IF(E173&lt;=100000,"Sim","Não")</f>
        <v>Sim</v>
      </c>
    </row>
    <row r="174" customFormat="false" ht="15" hidden="false" customHeight="false" outlineLevel="0" collapsed="false">
      <c r="A174" s="14" t="s">
        <v>229</v>
      </c>
      <c r="B174" s="14" t="s">
        <v>27</v>
      </c>
      <c r="C174" s="14" t="s">
        <v>28</v>
      </c>
      <c r="D174" s="15" t="n">
        <v>183611</v>
      </c>
      <c r="E174" s="15" t="n">
        <v>92580</v>
      </c>
      <c r="F174" s="16" t="n">
        <f aca="false">1-E174/D174</f>
        <v>0.49578184313576</v>
      </c>
      <c r="G174" s="14" t="n">
        <v>84</v>
      </c>
      <c r="H174" s="14" t="n">
        <v>721</v>
      </c>
      <c r="I174" s="14" t="n">
        <v>1080</v>
      </c>
      <c r="J174" s="14" t="str">
        <f aca="false">IF(E174&lt;=100000,"Sim","Não")</f>
        <v>Sim</v>
      </c>
    </row>
    <row r="175" customFormat="false" ht="15" hidden="false" customHeight="false" outlineLevel="0" collapsed="false">
      <c r="A175" s="14" t="s">
        <v>230</v>
      </c>
      <c r="B175" s="14" t="s">
        <v>27</v>
      </c>
      <c r="C175" s="14" t="s">
        <v>28</v>
      </c>
      <c r="D175" s="15" t="n">
        <v>222422</v>
      </c>
      <c r="E175" s="15" t="n">
        <v>90442</v>
      </c>
      <c r="F175" s="16" t="n">
        <f aca="false">1-E175/D175</f>
        <v>0.593376554477525</v>
      </c>
      <c r="G175" s="14" t="n">
        <v>76</v>
      </c>
      <c r="H175" s="14" t="n">
        <v>771</v>
      </c>
      <c r="I175" s="14" t="n">
        <v>1080</v>
      </c>
      <c r="J175" s="14" t="str">
        <f aca="false">IF(E175&lt;=100000,"Sim","Não")</f>
        <v>Sim</v>
      </c>
    </row>
    <row r="176" customFormat="false" ht="15" hidden="false" customHeight="false" outlineLevel="0" collapsed="false">
      <c r="A176" s="14" t="s">
        <v>231</v>
      </c>
      <c r="B176" s="14" t="s">
        <v>27</v>
      </c>
      <c r="C176" s="14" t="s">
        <v>28</v>
      </c>
      <c r="D176" s="15" t="n">
        <v>135814</v>
      </c>
      <c r="E176" s="15" t="n">
        <v>54112</v>
      </c>
      <c r="F176" s="16" t="n">
        <f aca="false">1-E176/D176</f>
        <v>0.601572739187418</v>
      </c>
      <c r="G176" s="14" t="n">
        <v>84</v>
      </c>
      <c r="H176" s="14" t="n">
        <v>861</v>
      </c>
      <c r="I176" s="14" t="n">
        <v>1080</v>
      </c>
      <c r="J176" s="14" t="str">
        <f aca="false">IF(E176&lt;=100000,"Sim","Não")</f>
        <v>Sim</v>
      </c>
    </row>
    <row r="177" customFormat="false" ht="15" hidden="false" customHeight="false" outlineLevel="0" collapsed="false">
      <c r="A177" s="14" t="s">
        <v>232</v>
      </c>
      <c r="B177" s="14" t="s">
        <v>27</v>
      </c>
      <c r="C177" s="14" t="s">
        <v>28</v>
      </c>
      <c r="D177" s="15" t="n">
        <v>95729</v>
      </c>
      <c r="E177" s="15" t="n">
        <v>44750</v>
      </c>
      <c r="F177" s="16" t="n">
        <f aca="false">1-E177/D177</f>
        <v>0.53253455065863</v>
      </c>
      <c r="G177" s="14" t="n">
        <v>84</v>
      </c>
      <c r="H177" s="14" t="n">
        <v>720</v>
      </c>
      <c r="I177" s="14" t="n">
        <v>1080</v>
      </c>
      <c r="J177" s="14" t="str">
        <f aca="false">IF(E177&lt;=100000,"Sim","Não")</f>
        <v>Sim</v>
      </c>
    </row>
    <row r="178" customFormat="false" ht="15" hidden="false" customHeight="false" outlineLevel="0" collapsed="false">
      <c r="A178" s="14" t="s">
        <v>233</v>
      </c>
      <c r="B178" s="14" t="s">
        <v>27</v>
      </c>
      <c r="C178" s="14" t="s">
        <v>28</v>
      </c>
      <c r="D178" s="15" t="n">
        <v>38810</v>
      </c>
      <c r="E178" s="15" t="n">
        <v>19062</v>
      </c>
      <c r="F178" s="16" t="n">
        <f aca="false">1-E178/D178</f>
        <v>0.508837928368977</v>
      </c>
      <c r="G178" s="14" t="n">
        <v>84</v>
      </c>
      <c r="H178" s="14" t="n">
        <v>720</v>
      </c>
      <c r="I178" s="14" t="n">
        <v>1080</v>
      </c>
      <c r="J178" s="14" t="str">
        <f aca="false">IF(E178&lt;=100000,"Sim","Não")</f>
        <v>Sim</v>
      </c>
    </row>
    <row r="179" customFormat="false" ht="15" hidden="false" customHeight="false" outlineLevel="0" collapsed="false">
      <c r="A179" s="14" t="s">
        <v>234</v>
      </c>
      <c r="B179" s="14" t="s">
        <v>27</v>
      </c>
      <c r="C179" s="14" t="s">
        <v>28</v>
      </c>
      <c r="D179" s="15" t="n">
        <v>112723</v>
      </c>
      <c r="E179" s="15" t="n">
        <v>71552</v>
      </c>
      <c r="F179" s="16" t="n">
        <f aca="false">1-E179/D179</f>
        <v>0.36524045669473</v>
      </c>
      <c r="G179" s="14" t="n">
        <v>84</v>
      </c>
      <c r="H179" s="14" t="n">
        <v>828</v>
      </c>
      <c r="I179" s="14" t="n">
        <v>1014</v>
      </c>
      <c r="J179" s="14" t="str">
        <f aca="false">IF(E179&lt;=100000,"Sim","Não")</f>
        <v>Sim</v>
      </c>
    </row>
    <row r="180" customFormat="false" ht="15" hidden="false" customHeight="false" outlineLevel="0" collapsed="false">
      <c r="A180" s="14" t="s">
        <v>235</v>
      </c>
      <c r="B180" s="14" t="s">
        <v>29</v>
      </c>
      <c r="C180" s="14" t="s">
        <v>30</v>
      </c>
      <c r="D180" s="15" t="n">
        <v>122024</v>
      </c>
      <c r="E180" s="15" t="n">
        <v>58528</v>
      </c>
      <c r="F180" s="16" t="n">
        <f aca="false">1-E180/D180</f>
        <v>0.520356651150593</v>
      </c>
      <c r="G180" s="14" t="n">
        <v>84</v>
      </c>
      <c r="H180" s="14" t="n">
        <v>720</v>
      </c>
      <c r="I180" s="14" t="n">
        <v>1080</v>
      </c>
      <c r="J180" s="14" t="str">
        <f aca="false">IF(E180&lt;=100000,"Sim","Não")</f>
        <v>Sim</v>
      </c>
    </row>
    <row r="181" customFormat="false" ht="15" hidden="false" customHeight="false" outlineLevel="0" collapsed="false">
      <c r="A181" s="14" t="s">
        <v>236</v>
      </c>
      <c r="B181" s="14" t="s">
        <v>29</v>
      </c>
      <c r="C181" s="14" t="s">
        <v>30</v>
      </c>
      <c r="D181" s="15" t="n">
        <v>147669</v>
      </c>
      <c r="E181" s="15" t="n">
        <v>73772</v>
      </c>
      <c r="F181" s="16" t="n">
        <f aca="false">1-E181/D181</f>
        <v>0.500423243876508</v>
      </c>
      <c r="G181" s="14" t="n">
        <v>84</v>
      </c>
      <c r="H181" s="14" t="n">
        <v>828</v>
      </c>
      <c r="I181" s="14" t="n">
        <v>1080</v>
      </c>
      <c r="J181" s="14" t="str">
        <f aca="false">IF(E181&lt;=100000,"Sim","Não")</f>
        <v>Sim</v>
      </c>
    </row>
    <row r="182" customFormat="false" ht="15" hidden="false" customHeight="false" outlineLevel="0" collapsed="false">
      <c r="A182" s="14" t="s">
        <v>237</v>
      </c>
      <c r="B182" s="14" t="s">
        <v>29</v>
      </c>
      <c r="C182" s="14" t="s">
        <v>30</v>
      </c>
      <c r="D182" s="15" t="n">
        <v>100005</v>
      </c>
      <c r="E182" s="15" t="n">
        <v>62146</v>
      </c>
      <c r="F182" s="16" t="n">
        <f aca="false">1-E182/D182</f>
        <v>0.378571071446428</v>
      </c>
      <c r="G182" s="14" t="n">
        <v>84</v>
      </c>
      <c r="H182" s="14" t="n">
        <v>667</v>
      </c>
      <c r="I182" s="14" t="n">
        <v>1000</v>
      </c>
      <c r="J182" s="14" t="str">
        <f aca="false">IF(E182&lt;=100000,"Sim","Não")</f>
        <v>Sim</v>
      </c>
    </row>
    <row r="183" customFormat="false" ht="15" hidden="false" customHeight="false" outlineLevel="0" collapsed="false">
      <c r="A183" s="14" t="s">
        <v>238</v>
      </c>
      <c r="B183" s="14" t="s">
        <v>29</v>
      </c>
      <c r="C183" s="14" t="s">
        <v>30</v>
      </c>
      <c r="D183" s="15" t="n">
        <v>168017</v>
      </c>
      <c r="E183" s="15" t="n">
        <v>86350</v>
      </c>
      <c r="F183" s="16" t="n">
        <f aca="false">1-E183/D183</f>
        <v>0.486063910199563</v>
      </c>
      <c r="G183" s="14" t="n">
        <v>76</v>
      </c>
      <c r="H183" s="14" t="n">
        <v>720</v>
      </c>
      <c r="I183" s="14" t="n">
        <v>1080</v>
      </c>
      <c r="J183" s="14" t="str">
        <f aca="false">IF(E183&lt;=100000,"Sim","Não")</f>
        <v>Sim</v>
      </c>
    </row>
    <row r="184" customFormat="false" ht="15" hidden="false" customHeight="false" outlineLevel="0" collapsed="false">
      <c r="A184" s="14" t="s">
        <v>239</v>
      </c>
      <c r="B184" s="14" t="s">
        <v>29</v>
      </c>
      <c r="C184" s="14" t="s">
        <v>30</v>
      </c>
      <c r="D184" s="15" t="n">
        <v>112774</v>
      </c>
      <c r="E184" s="15" t="n">
        <v>51880</v>
      </c>
      <c r="F184" s="16" t="n">
        <f aca="false">1-E184/D184</f>
        <v>0.539964885523259</v>
      </c>
      <c r="G184" s="14" t="n">
        <v>84</v>
      </c>
      <c r="H184" s="14" t="n">
        <v>607</v>
      </c>
      <c r="I184" s="14" t="n">
        <v>1080</v>
      </c>
      <c r="J184" s="14" t="str">
        <f aca="false">IF(E184&lt;=100000,"Sim","Não")</f>
        <v>Sim</v>
      </c>
    </row>
    <row r="185" customFormat="false" ht="15" hidden="false" customHeight="false" outlineLevel="0" collapsed="false">
      <c r="A185" s="14" t="s">
        <v>240</v>
      </c>
      <c r="B185" s="14" t="s">
        <v>29</v>
      </c>
      <c r="C185" s="14" t="s">
        <v>30</v>
      </c>
      <c r="D185" s="15" t="n">
        <v>87754</v>
      </c>
      <c r="E185" s="15" t="n">
        <v>48808</v>
      </c>
      <c r="F185" s="16" t="n">
        <f aca="false">1-E185/D185</f>
        <v>0.443808829227158</v>
      </c>
      <c r="G185" s="14" t="n">
        <v>84</v>
      </c>
      <c r="H185" s="14" t="n">
        <v>671</v>
      </c>
      <c r="I185" s="14" t="n">
        <v>1080</v>
      </c>
      <c r="J185" s="14" t="str">
        <f aca="false">IF(E185&lt;=100000,"Sim","Não")</f>
        <v>Sim</v>
      </c>
    </row>
    <row r="186" customFormat="false" ht="15" hidden="false" customHeight="false" outlineLevel="0" collapsed="false">
      <c r="A186" s="14" t="s">
        <v>241</v>
      </c>
      <c r="B186" s="14" t="s">
        <v>31</v>
      </c>
      <c r="C186" s="14" t="s">
        <v>32</v>
      </c>
      <c r="D186" s="15" t="n">
        <v>103196</v>
      </c>
      <c r="E186" s="15" t="n">
        <v>66726</v>
      </c>
      <c r="F186" s="16" t="n">
        <f aca="false">1-E186/D186</f>
        <v>0.353405170743052</v>
      </c>
      <c r="G186" s="14" t="n">
        <v>84</v>
      </c>
      <c r="H186" s="14" t="n">
        <v>720</v>
      </c>
      <c r="I186" s="14" t="n">
        <v>1080</v>
      </c>
      <c r="J186" s="14" t="str">
        <f aca="false">IF(E186&lt;=100000,"Sim","Não")</f>
        <v>Sim</v>
      </c>
    </row>
    <row r="187" customFormat="false" ht="15" hidden="false" customHeight="false" outlineLevel="0" collapsed="false">
      <c r="A187" s="14" t="s">
        <v>242</v>
      </c>
      <c r="B187" s="14" t="s">
        <v>31</v>
      </c>
      <c r="C187" s="14" t="s">
        <v>32</v>
      </c>
      <c r="D187" s="15" t="n">
        <v>188912</v>
      </c>
      <c r="E187" s="15" t="n">
        <v>88214</v>
      </c>
      <c r="F187" s="16" t="n">
        <f aca="false">1-E187/D187</f>
        <v>0.533041839586686</v>
      </c>
      <c r="G187" s="14" t="n">
        <v>80</v>
      </c>
      <c r="H187" s="14" t="n">
        <v>864</v>
      </c>
      <c r="I187" s="14" t="n">
        <v>1080</v>
      </c>
      <c r="J187" s="14" t="str">
        <f aca="false">IF(E187&lt;=100000,"Sim","Não")</f>
        <v>Sim</v>
      </c>
    </row>
    <row r="188" customFormat="false" ht="15" hidden="false" customHeight="false" outlineLevel="0" collapsed="false">
      <c r="A188" s="14" t="s">
        <v>243</v>
      </c>
      <c r="B188" s="14" t="s">
        <v>31</v>
      </c>
      <c r="C188" s="14" t="s">
        <v>32</v>
      </c>
      <c r="D188" s="15" t="n">
        <v>119906</v>
      </c>
      <c r="E188" s="15" t="n">
        <v>49950</v>
      </c>
      <c r="F188" s="16" t="n">
        <f aca="false">1-E188/D188</f>
        <v>0.583423681884143</v>
      </c>
      <c r="G188" s="14" t="n">
        <v>84</v>
      </c>
      <c r="H188" s="14" t="n">
        <v>882</v>
      </c>
      <c r="I188" s="14" t="n">
        <v>1080</v>
      </c>
      <c r="J188" s="14" t="str">
        <f aca="false">IF(E188&lt;=100000,"Sim","Não")</f>
        <v>Sim</v>
      </c>
    </row>
    <row r="189" customFormat="false" ht="15" hidden="false" customHeight="false" outlineLevel="0" collapsed="false">
      <c r="A189" s="14" t="s">
        <v>244</v>
      </c>
      <c r="B189" s="14" t="s">
        <v>31</v>
      </c>
      <c r="C189" s="14" t="s">
        <v>32</v>
      </c>
      <c r="D189" s="15" t="n">
        <v>222519</v>
      </c>
      <c r="E189" s="15" t="n">
        <v>95046</v>
      </c>
      <c r="F189" s="16" t="n">
        <f aca="false">1-E189/D189</f>
        <v>0.572863440874712</v>
      </c>
      <c r="G189" s="14" t="n">
        <v>76</v>
      </c>
      <c r="H189" s="14" t="n">
        <v>864</v>
      </c>
      <c r="I189" s="14" t="n">
        <v>1080</v>
      </c>
      <c r="J189" s="14" t="str">
        <f aca="false">IF(E189&lt;=100000,"Sim","Não")</f>
        <v>Sim</v>
      </c>
    </row>
    <row r="190" customFormat="false" ht="15" hidden="false" customHeight="false" outlineLevel="0" collapsed="false">
      <c r="A190" s="14" t="s">
        <v>245</v>
      </c>
      <c r="B190" s="14" t="s">
        <v>31</v>
      </c>
      <c r="C190" s="14" t="s">
        <v>32</v>
      </c>
      <c r="D190" s="15" t="n">
        <v>155937</v>
      </c>
      <c r="E190" s="15" t="n">
        <v>69022</v>
      </c>
      <c r="F190" s="16" t="n">
        <f aca="false">1-E190/D190</f>
        <v>0.557372528649391</v>
      </c>
      <c r="G190" s="14" t="n">
        <v>84</v>
      </c>
      <c r="H190" s="14" t="n">
        <v>869</v>
      </c>
      <c r="I190" s="14" t="n">
        <v>1080</v>
      </c>
      <c r="J190" s="14" t="str">
        <f aca="false">IF(E190&lt;=100000,"Sim","Não")</f>
        <v>Sim</v>
      </c>
    </row>
    <row r="191" customFormat="false" ht="15" hidden="false" customHeight="false" outlineLevel="0" collapsed="false">
      <c r="A191" s="14" t="s">
        <v>246</v>
      </c>
      <c r="B191" s="14" t="s">
        <v>31</v>
      </c>
      <c r="C191" s="14" t="s">
        <v>32</v>
      </c>
      <c r="D191" s="15" t="n">
        <v>49604</v>
      </c>
      <c r="E191" s="15" t="n">
        <v>30908</v>
      </c>
      <c r="F191" s="16" t="n">
        <f aca="false">1-E191/D191</f>
        <v>0.376905088299331</v>
      </c>
      <c r="G191" s="14" t="n">
        <v>84</v>
      </c>
      <c r="H191" s="14" t="n">
        <v>736</v>
      </c>
      <c r="I191" s="14" t="n">
        <v>981</v>
      </c>
      <c r="J191" s="14" t="str">
        <f aca="false">IF(E191&lt;=100000,"Sim","Não")</f>
        <v>Sim</v>
      </c>
    </row>
    <row r="192" customFormat="false" ht="15" hidden="false" customHeight="false" outlineLevel="0" collapsed="false">
      <c r="A192" s="14" t="s">
        <v>247</v>
      </c>
      <c r="B192" s="14" t="s">
        <v>31</v>
      </c>
      <c r="C192" s="14" t="s">
        <v>32</v>
      </c>
      <c r="D192" s="15" t="n">
        <v>70641</v>
      </c>
      <c r="E192" s="15" t="n">
        <v>38582</v>
      </c>
      <c r="F192" s="16" t="n">
        <f aca="false">1-E192/D192</f>
        <v>0.453829928794893</v>
      </c>
      <c r="G192" s="14" t="n">
        <v>84</v>
      </c>
      <c r="H192" s="14" t="n">
        <v>736</v>
      </c>
      <c r="I192" s="14" t="n">
        <v>920</v>
      </c>
      <c r="J192" s="14" t="str">
        <f aca="false">IF(E192&lt;=100000,"Sim","Não")</f>
        <v>Sim</v>
      </c>
    </row>
    <row r="193" customFormat="false" ht="15" hidden="false" customHeight="false" outlineLevel="0" collapsed="false">
      <c r="A193" s="14" t="s">
        <v>248</v>
      </c>
      <c r="B193" s="14" t="s">
        <v>31</v>
      </c>
      <c r="C193" s="14" t="s">
        <v>32</v>
      </c>
      <c r="D193" s="15" t="n">
        <v>160829</v>
      </c>
      <c r="E193" s="15" t="n">
        <v>74702</v>
      </c>
      <c r="F193" s="16" t="n">
        <f aca="false">1-E193/D193</f>
        <v>0.535519091706098</v>
      </c>
      <c r="G193" s="14" t="n">
        <v>84</v>
      </c>
      <c r="H193" s="14" t="n">
        <v>904</v>
      </c>
      <c r="I193" s="14" t="n">
        <v>1080</v>
      </c>
      <c r="J193" s="14" t="str">
        <f aca="false">IF(E193&lt;=100000,"Sim","Não")</f>
        <v>Sim</v>
      </c>
    </row>
    <row r="194" customFormat="false" ht="15" hidden="false" customHeight="false" outlineLevel="0" collapsed="false">
      <c r="A194" s="14" t="s">
        <v>249</v>
      </c>
      <c r="B194" s="14" t="s">
        <v>33</v>
      </c>
      <c r="C194" s="14" t="s">
        <v>34</v>
      </c>
      <c r="D194" s="15" t="n">
        <v>152985</v>
      </c>
      <c r="E194" s="15" t="n">
        <v>76576</v>
      </c>
      <c r="F194" s="16" t="n">
        <f aca="false">1-E194/D194</f>
        <v>0.499454194855705</v>
      </c>
      <c r="G194" s="14" t="n">
        <v>84</v>
      </c>
      <c r="H194" s="14" t="n">
        <v>721</v>
      </c>
      <c r="I194" s="14" t="n">
        <v>1080</v>
      </c>
      <c r="J194" s="14" t="str">
        <f aca="false">IF(E194&lt;=100000,"Sim","Não")</f>
        <v>Sim</v>
      </c>
    </row>
    <row r="195" customFormat="false" ht="15" hidden="false" customHeight="false" outlineLevel="0" collapsed="false">
      <c r="A195" s="14" t="s">
        <v>250</v>
      </c>
      <c r="B195" s="14" t="s">
        <v>33</v>
      </c>
      <c r="C195" s="14" t="s">
        <v>34</v>
      </c>
      <c r="D195" s="15" t="n">
        <v>120302</v>
      </c>
      <c r="E195" s="15" t="n">
        <v>49668</v>
      </c>
      <c r="F195" s="16" t="n">
        <f aca="false">1-E195/D195</f>
        <v>0.587139033432528</v>
      </c>
      <c r="G195" s="14" t="n">
        <v>84</v>
      </c>
      <c r="H195" s="14" t="n">
        <v>721</v>
      </c>
      <c r="I195" s="14" t="n">
        <v>1080</v>
      </c>
      <c r="J195" s="14" t="str">
        <f aca="false">IF(E195&lt;=100000,"Sim","Não")</f>
        <v>Sim</v>
      </c>
    </row>
    <row r="196" customFormat="false" ht="15" hidden="false" customHeight="false" outlineLevel="0" collapsed="false">
      <c r="A196" s="14" t="s">
        <v>251</v>
      </c>
      <c r="B196" s="14" t="s">
        <v>33</v>
      </c>
      <c r="C196" s="14" t="s">
        <v>34</v>
      </c>
      <c r="D196" s="15" t="n">
        <v>163639</v>
      </c>
      <c r="E196" s="15" t="n">
        <v>83240</v>
      </c>
      <c r="F196" s="16" t="n">
        <f aca="false">1-E196/D196</f>
        <v>0.491319306522284</v>
      </c>
      <c r="G196" s="14" t="n">
        <v>84</v>
      </c>
      <c r="H196" s="14" t="n">
        <v>721</v>
      </c>
      <c r="I196" s="14" t="n">
        <v>1080</v>
      </c>
      <c r="J196" s="14" t="str">
        <f aca="false">IF(E196&lt;=100000,"Sim","Não")</f>
        <v>Sim</v>
      </c>
    </row>
    <row r="197" customFormat="false" ht="15" hidden="false" customHeight="false" outlineLevel="0" collapsed="false">
      <c r="A197" s="14" t="s">
        <v>252</v>
      </c>
      <c r="B197" s="14" t="s">
        <v>33</v>
      </c>
      <c r="C197" s="14" t="s">
        <v>34</v>
      </c>
      <c r="D197" s="15" t="n">
        <v>117692</v>
      </c>
      <c r="E197" s="15" t="n">
        <v>48556</v>
      </c>
      <c r="F197" s="16" t="n">
        <f aca="false">1-E197/D197</f>
        <v>0.587431601128369</v>
      </c>
      <c r="G197" s="14" t="n">
        <v>84</v>
      </c>
      <c r="H197" s="14" t="n">
        <v>721</v>
      </c>
      <c r="I197" s="14" t="n">
        <v>1080</v>
      </c>
      <c r="J197" s="14" t="str">
        <f aca="false">IF(E197&lt;=100000,"Sim","Não")</f>
        <v>Sim</v>
      </c>
    </row>
    <row r="198" customFormat="false" ht="15" hidden="false" customHeight="false" outlineLevel="0" collapsed="false">
      <c r="A198" s="14" t="s">
        <v>253</v>
      </c>
      <c r="B198" s="14" t="s">
        <v>33</v>
      </c>
      <c r="C198" s="14" t="s">
        <v>34</v>
      </c>
      <c r="D198" s="15" t="n">
        <v>230542</v>
      </c>
      <c r="E198" s="15" t="n">
        <v>94042</v>
      </c>
      <c r="F198" s="16" t="n">
        <f aca="false">1-E198/D198</f>
        <v>0.592083004398331</v>
      </c>
      <c r="G198" s="14" t="n">
        <v>76</v>
      </c>
      <c r="H198" s="14" t="n">
        <v>864</v>
      </c>
      <c r="I198" s="14" t="n">
        <v>1080</v>
      </c>
      <c r="J198" s="14" t="str">
        <f aca="false">IF(E198&lt;=100000,"Sim","Não")</f>
        <v>Sim</v>
      </c>
    </row>
    <row r="199" customFormat="false" ht="15" hidden="false" customHeight="false" outlineLevel="0" collapsed="false">
      <c r="A199" s="14" t="s">
        <v>254</v>
      </c>
      <c r="B199" s="14" t="s">
        <v>33</v>
      </c>
      <c r="C199" s="14" t="s">
        <v>34</v>
      </c>
      <c r="D199" s="15" t="n">
        <v>143872</v>
      </c>
      <c r="E199" s="15" t="n">
        <v>61796</v>
      </c>
      <c r="F199" s="16" t="n">
        <f aca="false">1-E199/D199</f>
        <v>0.570479314946619</v>
      </c>
      <c r="G199" s="14" t="n">
        <v>84</v>
      </c>
      <c r="H199" s="14" t="n">
        <v>721</v>
      </c>
      <c r="I199" s="14" t="n">
        <v>1080</v>
      </c>
      <c r="J199" s="14" t="str">
        <f aca="false">IF(E199&lt;=100000,"Sim","Não")</f>
        <v>Sim</v>
      </c>
    </row>
    <row r="200" customFormat="false" ht="15" hidden="false" customHeight="false" outlineLevel="0" collapsed="false">
      <c r="A200" s="14" t="s">
        <v>255</v>
      </c>
      <c r="B200" s="14" t="s">
        <v>33</v>
      </c>
      <c r="C200" s="14" t="s">
        <v>34</v>
      </c>
      <c r="D200" s="15" t="n">
        <v>174359</v>
      </c>
      <c r="E200" s="15" t="n">
        <v>80778</v>
      </c>
      <c r="F200" s="16" t="n">
        <f aca="false">1-E200/D200</f>
        <v>0.53671447989493</v>
      </c>
      <c r="G200" s="14" t="n">
        <v>84</v>
      </c>
      <c r="H200" s="14" t="n">
        <v>721</v>
      </c>
      <c r="I200" s="14" t="n">
        <v>1080</v>
      </c>
      <c r="J200" s="14" t="str">
        <f aca="false">IF(E200&lt;=100000,"Sim","Não")</f>
        <v>Sim</v>
      </c>
    </row>
    <row r="201" customFormat="false" ht="15" hidden="false" customHeight="false" outlineLevel="0" collapsed="false">
      <c r="A201" s="14" t="s">
        <v>256</v>
      </c>
      <c r="B201" s="14" t="s">
        <v>33</v>
      </c>
      <c r="C201" s="14" t="s">
        <v>34</v>
      </c>
      <c r="D201" s="15" t="n">
        <v>196359</v>
      </c>
      <c r="E201" s="15" t="n">
        <v>80760</v>
      </c>
      <c r="F201" s="16" t="n">
        <f aca="false">1-E201/D201</f>
        <v>0.588712511267627</v>
      </c>
      <c r="G201" s="14" t="n">
        <v>80</v>
      </c>
      <c r="H201" s="14" t="n">
        <v>720</v>
      </c>
      <c r="I201" s="14" t="n">
        <v>1080</v>
      </c>
      <c r="J201" s="14" t="str">
        <f aca="false">IF(E201&lt;=100000,"Sim","Não")</f>
        <v>Sim</v>
      </c>
    </row>
    <row r="202" customFormat="false" ht="15" hidden="false" customHeight="false" outlineLevel="0" collapsed="false">
      <c r="A202" s="14" t="s">
        <v>257</v>
      </c>
      <c r="B202" s="14" t="s">
        <v>33</v>
      </c>
      <c r="C202" s="14" t="s">
        <v>34</v>
      </c>
      <c r="D202" s="15" t="n">
        <v>202669</v>
      </c>
      <c r="E202" s="15" t="n">
        <v>94406</v>
      </c>
      <c r="F202" s="16" t="n">
        <f aca="false">1-E202/D202</f>
        <v>0.534186284039493</v>
      </c>
      <c r="G202" s="14" t="n">
        <v>80</v>
      </c>
      <c r="H202" s="14" t="n">
        <v>864</v>
      </c>
      <c r="I202" s="14" t="n">
        <v>1080</v>
      </c>
      <c r="J202" s="14" t="str">
        <f aca="false">IF(E202&lt;=100000,"Sim","Não")</f>
        <v>Sim</v>
      </c>
    </row>
    <row r="203" customFormat="false" ht="15" hidden="false" customHeight="false" outlineLevel="0" collapsed="false">
      <c r="A203" s="14" t="s">
        <v>258</v>
      </c>
      <c r="B203" s="14" t="s">
        <v>33</v>
      </c>
      <c r="C203" s="14" t="s">
        <v>34</v>
      </c>
      <c r="D203" s="15" t="n">
        <v>192551</v>
      </c>
      <c r="E203" s="15" t="n">
        <v>89640</v>
      </c>
      <c r="F203" s="16" t="n">
        <f aca="false">1-E203/D203</f>
        <v>0.534460999942872</v>
      </c>
      <c r="G203" s="14" t="n">
        <v>84</v>
      </c>
      <c r="H203" s="14" t="n">
        <v>720</v>
      </c>
      <c r="I203" s="14" t="n">
        <v>1080</v>
      </c>
      <c r="J203" s="14" t="str">
        <f aca="false">IF(E203&lt;=100000,"Sim","Não")</f>
        <v>Sim</v>
      </c>
    </row>
    <row r="204" customFormat="false" ht="15" hidden="false" customHeight="false" outlineLevel="0" collapsed="false">
      <c r="A204" s="14" t="s">
        <v>259</v>
      </c>
      <c r="B204" s="14" t="s">
        <v>33</v>
      </c>
      <c r="C204" s="14" t="s">
        <v>34</v>
      </c>
      <c r="D204" s="15" t="n">
        <v>129364</v>
      </c>
      <c r="E204" s="15" t="n">
        <v>57124</v>
      </c>
      <c r="F204" s="16" t="n">
        <f aca="false">1-E204/D204</f>
        <v>0.55842429114746</v>
      </c>
      <c r="G204" s="14" t="n">
        <v>84</v>
      </c>
      <c r="H204" s="14" t="n">
        <v>721</v>
      </c>
      <c r="I204" s="14" t="n">
        <v>1080</v>
      </c>
      <c r="J204" s="14" t="str">
        <f aca="false">IF(E204&lt;=100000,"Sim","Não")</f>
        <v>Sim</v>
      </c>
    </row>
    <row r="205" customFormat="false" ht="15" hidden="false" customHeight="false" outlineLevel="0" collapsed="false">
      <c r="A205" s="14" t="s">
        <v>260</v>
      </c>
      <c r="B205" s="14" t="s">
        <v>33</v>
      </c>
      <c r="C205" s="14" t="s">
        <v>34</v>
      </c>
      <c r="D205" s="15" t="n">
        <v>237484</v>
      </c>
      <c r="E205" s="15" t="n">
        <v>95102</v>
      </c>
      <c r="F205" s="16" t="n">
        <f aca="false">1-E205/D205</f>
        <v>0.599543548196931</v>
      </c>
      <c r="G205" s="14" t="n">
        <v>72</v>
      </c>
      <c r="H205" s="14" t="n">
        <v>720</v>
      </c>
      <c r="I205" s="14" t="n">
        <v>1080</v>
      </c>
      <c r="J205" s="14" t="str">
        <f aca="false">IF(E205&lt;=100000,"Sim","Não")</f>
        <v>Sim</v>
      </c>
    </row>
    <row r="206" customFormat="false" ht="15" hidden="false" customHeight="false" outlineLevel="0" collapsed="false">
      <c r="A206" s="14" t="s">
        <v>261</v>
      </c>
      <c r="B206" s="14" t="s">
        <v>33</v>
      </c>
      <c r="C206" s="14" t="s">
        <v>34</v>
      </c>
      <c r="D206" s="15" t="n">
        <v>191012</v>
      </c>
      <c r="E206" s="15" t="n">
        <v>96214</v>
      </c>
      <c r="F206" s="16" t="n">
        <f aca="false">1-E206/D206</f>
        <v>0.496293426591</v>
      </c>
      <c r="G206" s="14" t="n">
        <v>84</v>
      </c>
      <c r="H206" s="14" t="n">
        <v>864</v>
      </c>
      <c r="I206" s="14" t="n">
        <v>1080</v>
      </c>
      <c r="J206" s="14" t="str">
        <f aca="false">IF(E206&lt;=100000,"Sim","Não")</f>
        <v>Sim</v>
      </c>
    </row>
    <row r="207" customFormat="false" ht="15" hidden="false" customHeight="false" outlineLevel="0" collapsed="false">
      <c r="A207" s="14" t="s">
        <v>262</v>
      </c>
      <c r="B207" s="14" t="s">
        <v>33</v>
      </c>
      <c r="C207" s="14" t="s">
        <v>34</v>
      </c>
      <c r="D207" s="15" t="n">
        <v>169984</v>
      </c>
      <c r="E207" s="15" t="n">
        <v>96868</v>
      </c>
      <c r="F207" s="16" t="n">
        <f aca="false">1-E207/D207</f>
        <v>0.430134600903614</v>
      </c>
      <c r="G207" s="14" t="n">
        <v>84</v>
      </c>
      <c r="H207" s="14" t="n">
        <v>721</v>
      </c>
      <c r="I207" s="14" t="n">
        <v>1080</v>
      </c>
      <c r="J207" s="14" t="str">
        <f aca="false">IF(E207&lt;=100000,"Sim","Não")</f>
        <v>Sim</v>
      </c>
    </row>
    <row r="208" customFormat="false" ht="15" hidden="false" customHeight="false" outlineLevel="0" collapsed="false">
      <c r="A208" s="14" t="s">
        <v>263</v>
      </c>
      <c r="B208" s="14" t="s">
        <v>33</v>
      </c>
      <c r="C208" s="14" t="s">
        <v>34</v>
      </c>
      <c r="D208" s="15" t="n">
        <v>167958</v>
      </c>
      <c r="E208" s="15" t="n">
        <v>74862</v>
      </c>
      <c r="F208" s="16" t="n">
        <f aca="false">1-E208/D208</f>
        <v>0.554281427499732</v>
      </c>
      <c r="G208" s="14" t="n">
        <v>84</v>
      </c>
      <c r="H208" s="14" t="n">
        <v>975</v>
      </c>
      <c r="I208" s="14" t="n">
        <v>1080</v>
      </c>
      <c r="J208" s="14" t="str">
        <f aca="false">IF(E208&lt;=100000,"Sim","Não")</f>
        <v>Sim</v>
      </c>
    </row>
    <row r="209" customFormat="false" ht="15" hidden="false" customHeight="false" outlineLevel="0" collapsed="false">
      <c r="A209" s="14" t="s">
        <v>264</v>
      </c>
      <c r="B209" s="14" t="s">
        <v>33</v>
      </c>
      <c r="C209" s="14" t="s">
        <v>34</v>
      </c>
      <c r="D209" s="15" t="n">
        <v>181921</v>
      </c>
      <c r="E209" s="15" t="n">
        <v>91274</v>
      </c>
      <c r="F209" s="16" t="n">
        <f aca="false">1-E209/D209</f>
        <v>0.498276724512288</v>
      </c>
      <c r="G209" s="14" t="n">
        <v>84</v>
      </c>
      <c r="H209" s="14" t="n">
        <v>810</v>
      </c>
      <c r="I209" s="14" t="n">
        <v>1080</v>
      </c>
      <c r="J209" s="14" t="str">
        <f aca="false">IF(E209&lt;=100000,"Sim","Não")</f>
        <v>Sim</v>
      </c>
    </row>
    <row r="210" customFormat="false" ht="15" hidden="false" customHeight="false" outlineLevel="0" collapsed="false">
      <c r="A210" s="14" t="s">
        <v>265</v>
      </c>
      <c r="B210" s="14" t="s">
        <v>33</v>
      </c>
      <c r="C210" s="14" t="s">
        <v>34</v>
      </c>
      <c r="D210" s="15" t="n">
        <v>136450</v>
      </c>
      <c r="E210" s="15" t="n">
        <v>60044</v>
      </c>
      <c r="F210" s="16" t="n">
        <f aca="false">1-E210/D210</f>
        <v>0.559956027849029</v>
      </c>
      <c r="G210" s="14" t="n">
        <v>84</v>
      </c>
      <c r="H210" s="14" t="n">
        <v>684</v>
      </c>
      <c r="I210" s="14" t="n">
        <v>1080</v>
      </c>
      <c r="J210" s="14" t="str">
        <f aca="false">IF(E210&lt;=100000,"Sim","Não")</f>
        <v>Sim</v>
      </c>
    </row>
    <row r="211" customFormat="false" ht="15" hidden="false" customHeight="false" outlineLevel="0" collapsed="false">
      <c r="A211" s="14" t="s">
        <v>266</v>
      </c>
      <c r="B211" s="14" t="s">
        <v>33</v>
      </c>
      <c r="C211" s="14" t="s">
        <v>34</v>
      </c>
      <c r="D211" s="15" t="n">
        <v>119380</v>
      </c>
      <c r="E211" s="15" t="n">
        <v>57432</v>
      </c>
      <c r="F211" s="16" t="n">
        <f aca="false">1-E211/D211</f>
        <v>0.518914391020271</v>
      </c>
      <c r="G211" s="14" t="n">
        <v>84</v>
      </c>
      <c r="H211" s="14" t="n">
        <v>1080</v>
      </c>
      <c r="I211" s="14" t="n">
        <v>810</v>
      </c>
      <c r="J211" s="14" t="str">
        <f aca="false">IF(E211&lt;=100000,"Sim","Não")</f>
        <v>Sim</v>
      </c>
    </row>
    <row r="212" customFormat="false" ht="15" hidden="false" customHeight="false" outlineLevel="0" collapsed="false">
      <c r="A212" s="14" t="s">
        <v>267</v>
      </c>
      <c r="B212" s="14" t="s">
        <v>33</v>
      </c>
      <c r="C212" s="14" t="s">
        <v>34</v>
      </c>
      <c r="D212" s="15" t="n">
        <v>301062</v>
      </c>
      <c r="E212" s="15" t="n">
        <v>91456</v>
      </c>
      <c r="F212" s="16" t="n">
        <f aca="false">1-E212/D212</f>
        <v>0.696222040642791</v>
      </c>
      <c r="G212" s="14" t="n">
        <v>64</v>
      </c>
      <c r="H212" s="14" t="n">
        <v>1080</v>
      </c>
      <c r="I212" s="14" t="n">
        <v>1051</v>
      </c>
      <c r="J212" s="14" t="str">
        <f aca="false">IF(E212&lt;=100000,"Sim","Não")</f>
        <v>Sim</v>
      </c>
    </row>
    <row r="213" customFormat="false" ht="15" hidden="false" customHeight="false" outlineLevel="0" collapsed="false">
      <c r="A213" s="14" t="s">
        <v>268</v>
      </c>
      <c r="B213" s="14" t="s">
        <v>33</v>
      </c>
      <c r="C213" s="14" t="s">
        <v>34</v>
      </c>
      <c r="D213" s="15" t="n">
        <v>165366</v>
      </c>
      <c r="E213" s="15" t="n">
        <v>76642</v>
      </c>
      <c r="F213" s="16" t="n">
        <f aca="false">1-E213/D213</f>
        <v>0.536531088615556</v>
      </c>
      <c r="G213" s="14" t="n">
        <v>84</v>
      </c>
      <c r="H213" s="14" t="n">
        <v>1080</v>
      </c>
      <c r="I213" s="14" t="n">
        <v>720</v>
      </c>
      <c r="J213" s="14" t="str">
        <f aca="false">IF(E213&lt;=100000,"Sim","Não")</f>
        <v>Sim</v>
      </c>
    </row>
    <row r="214" customFormat="false" ht="15" hidden="false" customHeight="false" outlineLevel="0" collapsed="false">
      <c r="A214" s="14" t="s">
        <v>269</v>
      </c>
      <c r="B214" s="14" t="s">
        <v>33</v>
      </c>
      <c r="C214" s="14" t="s">
        <v>34</v>
      </c>
      <c r="D214" s="15" t="n">
        <v>203548</v>
      </c>
      <c r="E214" s="15" t="n">
        <v>92024</v>
      </c>
      <c r="F214" s="16" t="n">
        <f aca="false">1-E214/D214</f>
        <v>0.547900249572582</v>
      </c>
      <c r="G214" s="14" t="n">
        <v>80</v>
      </c>
      <c r="H214" s="14" t="n">
        <v>728</v>
      </c>
      <c r="I214" s="14" t="n">
        <v>1080</v>
      </c>
      <c r="J214" s="14" t="str">
        <f aca="false">IF(E214&lt;=100000,"Sim","Não")</f>
        <v>Sim</v>
      </c>
    </row>
    <row r="215" customFormat="false" ht="15" hidden="false" customHeight="false" outlineLevel="0" collapsed="false">
      <c r="A215" s="14" t="s">
        <v>270</v>
      </c>
      <c r="B215" s="14" t="s">
        <v>33</v>
      </c>
      <c r="C215" s="14" t="s">
        <v>34</v>
      </c>
      <c r="D215" s="15" t="n">
        <v>185442</v>
      </c>
      <c r="E215" s="15" t="n">
        <v>91386</v>
      </c>
      <c r="F215" s="16" t="n">
        <f aca="false">1-E215/D215</f>
        <v>0.507199016404051</v>
      </c>
      <c r="G215" s="14" t="n">
        <v>84</v>
      </c>
      <c r="H215" s="14" t="n">
        <v>950</v>
      </c>
      <c r="I215" s="14" t="n">
        <v>1080</v>
      </c>
      <c r="J215" s="14" t="str">
        <f aca="false">IF(E215&lt;=100000,"Sim","Não")</f>
        <v>Sim</v>
      </c>
    </row>
    <row r="216" customFormat="false" ht="15" hidden="false" customHeight="false" outlineLevel="0" collapsed="false">
      <c r="A216" s="14" t="s">
        <v>271</v>
      </c>
      <c r="B216" s="14" t="s">
        <v>33</v>
      </c>
      <c r="C216" s="14" t="s">
        <v>34</v>
      </c>
      <c r="D216" s="15" t="n">
        <v>153501</v>
      </c>
      <c r="E216" s="15" t="n">
        <v>82302</v>
      </c>
      <c r="F216" s="16" t="n">
        <f aca="false">1-E216/D216</f>
        <v>0.46383411182989</v>
      </c>
      <c r="G216" s="14" t="n">
        <v>84</v>
      </c>
      <c r="H216" s="14" t="n">
        <v>833</v>
      </c>
      <c r="I216" s="14" t="n">
        <v>1080</v>
      </c>
      <c r="J216" s="14" t="str">
        <f aca="false">IF(E216&lt;=100000,"Sim","Não")</f>
        <v>Sim</v>
      </c>
    </row>
    <row r="217" customFormat="false" ht="15" hidden="false" customHeight="false" outlineLevel="0" collapsed="false">
      <c r="A217" s="14" t="s">
        <v>272</v>
      </c>
      <c r="B217" s="14" t="s">
        <v>33</v>
      </c>
      <c r="C217" s="14" t="s">
        <v>34</v>
      </c>
      <c r="D217" s="15" t="n">
        <v>100655</v>
      </c>
      <c r="E217" s="15" t="n">
        <v>48466</v>
      </c>
      <c r="F217" s="16" t="n">
        <f aca="false">1-E217/D217</f>
        <v>0.518493865183051</v>
      </c>
      <c r="G217" s="14" t="n">
        <v>84</v>
      </c>
      <c r="H217" s="14" t="n">
        <v>706</v>
      </c>
      <c r="I217" s="14" t="n">
        <v>1080</v>
      </c>
      <c r="J217" s="14" t="str">
        <f aca="false">IF(E217&lt;=100000,"Sim","Não")</f>
        <v>Sim</v>
      </c>
    </row>
    <row r="218" customFormat="false" ht="15" hidden="false" customHeight="false" outlineLevel="0" collapsed="false">
      <c r="A218" s="14" t="s">
        <v>273</v>
      </c>
      <c r="B218" s="14" t="s">
        <v>33</v>
      </c>
      <c r="C218" s="14" t="s">
        <v>34</v>
      </c>
      <c r="D218" s="15" t="n">
        <v>134203</v>
      </c>
      <c r="E218" s="15" t="n">
        <v>52428</v>
      </c>
      <c r="F218" s="16" t="n">
        <f aca="false">1-E218/D218</f>
        <v>0.609338092293019</v>
      </c>
      <c r="G218" s="14" t="n">
        <v>84</v>
      </c>
      <c r="H218" s="14" t="n">
        <v>919</v>
      </c>
      <c r="I218" s="14" t="n">
        <v>1080</v>
      </c>
      <c r="J218" s="14" t="str">
        <f aca="false">IF(E218&lt;=100000,"Sim","Não")</f>
        <v>Sim</v>
      </c>
    </row>
    <row r="219" customFormat="false" ht="15" hidden="false" customHeight="false" outlineLevel="0" collapsed="false">
      <c r="A219" s="14" t="s">
        <v>274</v>
      </c>
      <c r="B219" s="14" t="s">
        <v>33</v>
      </c>
      <c r="C219" s="14" t="s">
        <v>34</v>
      </c>
      <c r="D219" s="15" t="n">
        <v>52398</v>
      </c>
      <c r="E219" s="15" t="n">
        <v>26980</v>
      </c>
      <c r="F219" s="16" t="n">
        <f aca="false">1-E219/D219</f>
        <v>0.485094850948509</v>
      </c>
      <c r="G219" s="14" t="n">
        <v>84</v>
      </c>
      <c r="H219" s="14" t="n">
        <v>736</v>
      </c>
      <c r="I219" s="14" t="n">
        <v>736</v>
      </c>
      <c r="J219" s="14" t="str">
        <f aca="false">IF(E219&lt;=100000,"Sim","Não")</f>
        <v>Sim</v>
      </c>
    </row>
    <row r="220" customFormat="false" ht="15" hidden="false" customHeight="false" outlineLevel="0" collapsed="false">
      <c r="A220" s="14" t="s">
        <v>275</v>
      </c>
      <c r="B220" s="14" t="s">
        <v>33</v>
      </c>
      <c r="C220" s="14" t="s">
        <v>34</v>
      </c>
      <c r="D220" s="15" t="n">
        <v>166446</v>
      </c>
      <c r="E220" s="15" t="n">
        <v>73608</v>
      </c>
      <c r="F220" s="16" t="n">
        <f aca="false">1-E220/D220</f>
        <v>0.557766482823258</v>
      </c>
      <c r="G220" s="14" t="n">
        <v>84</v>
      </c>
      <c r="H220" s="14" t="n">
        <v>895</v>
      </c>
      <c r="I220" s="14" t="n">
        <v>1080</v>
      </c>
      <c r="J220" s="14" t="str">
        <f aca="false">IF(E220&lt;=100000,"Sim","Não")</f>
        <v>Sim</v>
      </c>
    </row>
    <row r="221" customFormat="false" ht="15" hidden="false" customHeight="false" outlineLevel="0" collapsed="false">
      <c r="A221" s="14" t="s">
        <v>276</v>
      </c>
      <c r="B221" s="14" t="s">
        <v>33</v>
      </c>
      <c r="C221" s="14" t="s">
        <v>34</v>
      </c>
      <c r="D221" s="15" t="n">
        <v>193473</v>
      </c>
      <c r="E221" s="15" t="n">
        <v>86266</v>
      </c>
      <c r="F221" s="16" t="n">
        <f aca="false">1-E221/D221</f>
        <v>0.554118662552398</v>
      </c>
      <c r="G221" s="14" t="n">
        <v>80</v>
      </c>
      <c r="H221" s="14" t="n">
        <v>867</v>
      </c>
      <c r="I221" s="14" t="n">
        <v>1080</v>
      </c>
      <c r="J221" s="14" t="str">
        <f aca="false">IF(E221&lt;=100000,"Sim","Não")</f>
        <v>Sim</v>
      </c>
    </row>
    <row r="222" customFormat="false" ht="15" hidden="false" customHeight="false" outlineLevel="0" collapsed="false">
      <c r="A222" s="14" t="s">
        <v>277</v>
      </c>
      <c r="B222" s="14" t="s">
        <v>33</v>
      </c>
      <c r="C222" s="14" t="s">
        <v>34</v>
      </c>
      <c r="D222" s="15" t="n">
        <v>88127</v>
      </c>
      <c r="E222" s="15" t="n">
        <v>58600</v>
      </c>
      <c r="F222" s="16" t="n">
        <f aca="false">1-E222/D222</f>
        <v>0.335050552044209</v>
      </c>
      <c r="G222" s="14" t="n">
        <v>84</v>
      </c>
      <c r="H222" s="14" t="n">
        <v>720</v>
      </c>
      <c r="I222" s="14" t="n">
        <v>1080</v>
      </c>
      <c r="J222" s="14" t="str">
        <f aca="false">IF(E222&lt;=100000,"Sim","Não")</f>
        <v>Sim</v>
      </c>
    </row>
    <row r="223" customFormat="false" ht="15" hidden="false" customHeight="false" outlineLevel="0" collapsed="false">
      <c r="A223" s="14" t="s">
        <v>278</v>
      </c>
      <c r="B223" s="14" t="s">
        <v>33</v>
      </c>
      <c r="C223" s="14" t="s">
        <v>34</v>
      </c>
      <c r="D223" s="15" t="n">
        <v>97803</v>
      </c>
      <c r="E223" s="15" t="n">
        <v>74362</v>
      </c>
      <c r="F223" s="16" t="n">
        <f aca="false">1-E223/D223</f>
        <v>0.23967567457031</v>
      </c>
      <c r="G223" s="14" t="n">
        <v>84</v>
      </c>
      <c r="H223" s="14" t="n">
        <v>821</v>
      </c>
      <c r="I223" s="14" t="n">
        <v>1024</v>
      </c>
      <c r="J223" s="14" t="str">
        <f aca="false">IF(E223&lt;=100000,"Sim","Não")</f>
        <v>Sim</v>
      </c>
    </row>
    <row r="224" customFormat="false" ht="15" hidden="false" customHeight="false" outlineLevel="0" collapsed="false">
      <c r="A224" s="14" t="s">
        <v>279</v>
      </c>
      <c r="B224" s="14" t="s">
        <v>33</v>
      </c>
      <c r="C224" s="14" t="s">
        <v>34</v>
      </c>
      <c r="D224" s="15" t="n">
        <v>90011</v>
      </c>
      <c r="E224" s="15" t="n">
        <v>69254</v>
      </c>
      <c r="F224" s="16" t="n">
        <f aca="false">1-E224/D224</f>
        <v>0.230605148259657</v>
      </c>
      <c r="G224" s="14" t="n">
        <v>84</v>
      </c>
      <c r="H224" s="14" t="n">
        <v>736</v>
      </c>
      <c r="I224" s="14" t="n">
        <v>981</v>
      </c>
      <c r="J224" s="14" t="str">
        <f aca="false">IF(E224&lt;=100000,"Sim","Não")</f>
        <v>Sim</v>
      </c>
    </row>
    <row r="225" customFormat="false" ht="15" hidden="false" customHeight="false" outlineLevel="0" collapsed="false">
      <c r="A225" s="14" t="s">
        <v>280</v>
      </c>
      <c r="B225" s="14" t="s">
        <v>33</v>
      </c>
      <c r="C225" s="14" t="s">
        <v>34</v>
      </c>
      <c r="D225" s="15" t="n">
        <v>134818</v>
      </c>
      <c r="E225" s="15" t="n">
        <v>59728</v>
      </c>
      <c r="F225" s="16" t="n">
        <f aca="false">1-E225/D225</f>
        <v>0.556973104481597</v>
      </c>
      <c r="G225" s="14" t="n">
        <v>84</v>
      </c>
      <c r="H225" s="14" t="n">
        <v>720</v>
      </c>
      <c r="I225" s="14" t="n">
        <v>1080</v>
      </c>
      <c r="J225" s="14" t="str">
        <f aca="false">IF(E225&lt;=100000,"Sim","Não")</f>
        <v>Sim</v>
      </c>
    </row>
    <row r="226" customFormat="false" ht="15" hidden="false" customHeight="false" outlineLevel="0" collapsed="false">
      <c r="A226" s="14" t="s">
        <v>281</v>
      </c>
      <c r="B226" s="14" t="s">
        <v>33</v>
      </c>
      <c r="C226" s="14" t="s">
        <v>34</v>
      </c>
      <c r="D226" s="15" t="n">
        <v>135380</v>
      </c>
      <c r="E226" s="15" t="n">
        <v>83008</v>
      </c>
      <c r="F226" s="16" t="n">
        <f aca="false">1-E226/D226</f>
        <v>0.386851824494017</v>
      </c>
      <c r="G226" s="14" t="n">
        <v>84</v>
      </c>
      <c r="H226" s="14" t="n">
        <v>792</v>
      </c>
      <c r="I226" s="14" t="n">
        <v>1080</v>
      </c>
      <c r="J226" s="14" t="str">
        <f aca="false">IF(E226&lt;=100000,"Sim","Não")</f>
        <v>Sim</v>
      </c>
    </row>
    <row r="227" customFormat="false" ht="15" hidden="false" customHeight="false" outlineLevel="0" collapsed="false">
      <c r="A227" s="14" t="s">
        <v>282</v>
      </c>
      <c r="B227" s="14" t="s">
        <v>33</v>
      </c>
      <c r="C227" s="14" t="s">
        <v>34</v>
      </c>
      <c r="D227" s="15" t="n">
        <v>84178</v>
      </c>
      <c r="E227" s="15" t="n">
        <v>34804</v>
      </c>
      <c r="F227" s="16" t="n">
        <f aca="false">1-E227/D227</f>
        <v>0.586542802157333</v>
      </c>
      <c r="G227" s="14" t="n">
        <v>84</v>
      </c>
      <c r="H227" s="14" t="n">
        <v>607</v>
      </c>
      <c r="I227" s="14" t="n">
        <v>1080</v>
      </c>
      <c r="J227" s="14" t="str">
        <f aca="false">IF(E227&lt;=100000,"Sim","Não")</f>
        <v>Sim</v>
      </c>
    </row>
    <row r="228" customFormat="false" ht="15" hidden="false" customHeight="false" outlineLevel="0" collapsed="false">
      <c r="A228" s="14" t="s">
        <v>283</v>
      </c>
      <c r="B228" s="14" t="s">
        <v>33</v>
      </c>
      <c r="C228" s="14" t="s">
        <v>34</v>
      </c>
      <c r="D228" s="15" t="n">
        <v>127380</v>
      </c>
      <c r="E228" s="15" t="n">
        <v>58728</v>
      </c>
      <c r="F228" s="16" t="n">
        <f aca="false">1-E228/D228</f>
        <v>0.538954309938766</v>
      </c>
      <c r="G228" s="14" t="n">
        <v>84</v>
      </c>
      <c r="H228" s="14" t="n">
        <v>837</v>
      </c>
      <c r="I228" s="14" t="n">
        <v>1080</v>
      </c>
      <c r="J228" s="14" t="str">
        <f aca="false">IF(E228&lt;=100000,"Sim","Não")</f>
        <v>Sim</v>
      </c>
    </row>
    <row r="229" customFormat="false" ht="15" hidden="false" customHeight="false" outlineLevel="0" collapsed="false">
      <c r="A229" s="14" t="s">
        <v>284</v>
      </c>
      <c r="B229" s="14" t="s">
        <v>33</v>
      </c>
      <c r="C229" s="14" t="s">
        <v>34</v>
      </c>
      <c r="D229" s="15" t="n">
        <v>86454</v>
      </c>
      <c r="E229" s="15" t="n">
        <v>71254</v>
      </c>
      <c r="F229" s="16" t="n">
        <f aca="false">1-E229/D229</f>
        <v>0.175816040900363</v>
      </c>
      <c r="G229" s="14" t="n">
        <v>84</v>
      </c>
      <c r="H229" s="14" t="n">
        <v>736</v>
      </c>
      <c r="I229" s="14" t="n">
        <v>659</v>
      </c>
      <c r="J229" s="14" t="str">
        <f aca="false">IF(E229&lt;=100000,"Sim","Não")</f>
        <v>Sim</v>
      </c>
    </row>
    <row r="230" customFormat="false" ht="15" hidden="false" customHeight="false" outlineLevel="0" collapsed="false">
      <c r="A230" s="14" t="s">
        <v>285</v>
      </c>
      <c r="B230" s="14" t="s">
        <v>35</v>
      </c>
      <c r="C230" s="14" t="s">
        <v>36</v>
      </c>
      <c r="D230" s="15" t="n">
        <v>140352</v>
      </c>
      <c r="E230" s="15" t="n">
        <v>90894</v>
      </c>
      <c r="F230" s="16" t="n">
        <f aca="false">1-E230/D230</f>
        <v>0.352385430916553</v>
      </c>
      <c r="G230" s="14" t="n">
        <v>84</v>
      </c>
      <c r="H230" s="14" t="n">
        <v>1200</v>
      </c>
      <c r="I230" s="14" t="n">
        <v>900</v>
      </c>
      <c r="J230" s="14" t="str">
        <f aca="false">IF(E230&lt;=100000,"Sim","Não")</f>
        <v>Sim</v>
      </c>
    </row>
    <row r="231" customFormat="false" ht="15" hidden="false" customHeight="false" outlineLevel="0" collapsed="false">
      <c r="A231" s="14" t="s">
        <v>286</v>
      </c>
      <c r="B231" s="14" t="s">
        <v>35</v>
      </c>
      <c r="C231" s="14" t="s">
        <v>36</v>
      </c>
      <c r="D231" s="15" t="n">
        <v>162456</v>
      </c>
      <c r="E231" s="15" t="n">
        <v>90622</v>
      </c>
      <c r="F231" s="16" t="n">
        <f aca="false">1-E231/D231</f>
        <v>0.442175112030334</v>
      </c>
      <c r="G231" s="14" t="n">
        <v>68</v>
      </c>
      <c r="H231" s="14" t="n">
        <v>1200</v>
      </c>
      <c r="I231" s="14" t="n">
        <v>900</v>
      </c>
      <c r="J231" s="14" t="str">
        <f aca="false">IF(E231&lt;=100000,"Sim","Não")</f>
        <v>Sim</v>
      </c>
    </row>
    <row r="232" customFormat="false" ht="15" hidden="false" customHeight="false" outlineLevel="0" collapsed="false">
      <c r="A232" s="14" t="s">
        <v>287</v>
      </c>
      <c r="B232" s="14" t="s">
        <v>35</v>
      </c>
      <c r="C232" s="14" t="s">
        <v>36</v>
      </c>
      <c r="D232" s="15" t="n">
        <v>141732</v>
      </c>
      <c r="E232" s="15" t="n">
        <v>82896</v>
      </c>
      <c r="F232" s="16" t="n">
        <f aca="false">1-E232/D232</f>
        <v>0.415121496909661</v>
      </c>
      <c r="G232" s="14" t="n">
        <v>80</v>
      </c>
      <c r="H232" s="14" t="n">
        <v>1200</v>
      </c>
      <c r="I232" s="14" t="n">
        <v>900</v>
      </c>
      <c r="J232" s="14" t="str">
        <f aca="false">IF(E232&lt;=100000,"Sim","Não")</f>
        <v>Sim</v>
      </c>
    </row>
    <row r="233" customFormat="false" ht="15" hidden="false" customHeight="false" outlineLevel="0" collapsed="false">
      <c r="A233" s="14" t="s">
        <v>288</v>
      </c>
      <c r="B233" s="14" t="s">
        <v>35</v>
      </c>
      <c r="C233" s="14" t="s">
        <v>36</v>
      </c>
      <c r="D233" s="15" t="n">
        <v>142263</v>
      </c>
      <c r="E233" s="15" t="n">
        <v>91754</v>
      </c>
      <c r="F233" s="16" t="n">
        <f aca="false">1-E233/D233</f>
        <v>0.355039609736896</v>
      </c>
      <c r="G233" s="14" t="n">
        <v>76</v>
      </c>
      <c r="H233" s="14" t="n">
        <v>1200</v>
      </c>
      <c r="I233" s="14" t="n">
        <v>900</v>
      </c>
      <c r="J233" s="14" t="str">
        <f aca="false">IF(E233&lt;=100000,"Sim","Não")</f>
        <v>Sim</v>
      </c>
    </row>
    <row r="234" customFormat="false" ht="15" hidden="false" customHeight="false" outlineLevel="0" collapsed="false">
      <c r="A234" s="14" t="s">
        <v>289</v>
      </c>
      <c r="B234" s="14" t="s">
        <v>35</v>
      </c>
      <c r="C234" s="14" t="s">
        <v>36</v>
      </c>
      <c r="D234" s="15" t="n">
        <v>148434</v>
      </c>
      <c r="E234" s="15" t="n">
        <v>89514</v>
      </c>
      <c r="F234" s="16" t="n">
        <f aca="false">1-E234/D234</f>
        <v>0.396944096366062</v>
      </c>
      <c r="G234" s="14" t="n">
        <v>76</v>
      </c>
      <c r="H234" s="14" t="n">
        <v>1200</v>
      </c>
      <c r="I234" s="14" t="n">
        <v>900</v>
      </c>
      <c r="J234" s="14" t="str">
        <f aca="false">IF(E234&lt;=100000,"Sim","Não")</f>
        <v>Sim</v>
      </c>
    </row>
    <row r="235" customFormat="false" ht="15" hidden="false" customHeight="false" outlineLevel="0" collapsed="false">
      <c r="A235" s="14" t="s">
        <v>290</v>
      </c>
      <c r="B235" s="14" t="s">
        <v>35</v>
      </c>
      <c r="C235" s="14" t="s">
        <v>36</v>
      </c>
      <c r="D235" s="15" t="n">
        <v>11695</v>
      </c>
      <c r="E235" s="15" t="n">
        <v>5042</v>
      </c>
      <c r="F235" s="16" t="n">
        <f aca="false">1-E235/D235</f>
        <v>0.568875587858059</v>
      </c>
      <c r="G235" s="14" t="n">
        <v>84</v>
      </c>
      <c r="H235" s="14" t="n">
        <v>320</v>
      </c>
      <c r="I235" s="14" t="n">
        <v>209</v>
      </c>
      <c r="J235" s="14" t="str">
        <f aca="false">IF(E235&lt;=100000,"Sim","Não")</f>
        <v>Sim</v>
      </c>
    </row>
    <row r="236" customFormat="false" ht="15" hidden="false" customHeight="false" outlineLevel="0" collapsed="false">
      <c r="A236" s="14" t="s">
        <v>291</v>
      </c>
      <c r="B236" s="14" t="s">
        <v>35</v>
      </c>
      <c r="C236" s="14" t="s">
        <v>36</v>
      </c>
      <c r="D236" s="15" t="n">
        <v>10770</v>
      </c>
      <c r="E236" s="15" t="n">
        <v>3882</v>
      </c>
      <c r="F236" s="16" t="n">
        <f aca="false">1-E236/D236</f>
        <v>0.639554317548747</v>
      </c>
      <c r="G236" s="14" t="n">
        <v>84</v>
      </c>
      <c r="H236" s="14" t="n">
        <v>320</v>
      </c>
      <c r="I236" s="14" t="n">
        <v>209</v>
      </c>
      <c r="J236" s="14" t="str">
        <f aca="false">IF(E236&lt;=100000,"Sim","Não")</f>
        <v>Sim</v>
      </c>
    </row>
    <row r="237" customFormat="false" ht="15" hidden="false" customHeight="false" outlineLevel="0" collapsed="false">
      <c r="A237" s="14" t="s">
        <v>292</v>
      </c>
      <c r="B237" s="14" t="s">
        <v>35</v>
      </c>
      <c r="C237" s="14" t="s">
        <v>36</v>
      </c>
      <c r="D237" s="15" t="n">
        <v>69528</v>
      </c>
      <c r="E237" s="15" t="n">
        <v>30212</v>
      </c>
      <c r="F237" s="16" t="n">
        <f aca="false">1-E237/D237</f>
        <v>0.565470026464158</v>
      </c>
      <c r="G237" s="14" t="n">
        <v>84</v>
      </c>
      <c r="H237" s="14" t="n">
        <v>1200</v>
      </c>
      <c r="I237" s="14" t="n">
        <v>900</v>
      </c>
      <c r="J237" s="14" t="str">
        <f aca="false">IF(E237&lt;=100000,"Sim","Não")</f>
        <v>Sim</v>
      </c>
    </row>
    <row r="238" customFormat="false" ht="15" hidden="false" customHeight="false" outlineLevel="0" collapsed="false">
      <c r="A238" s="14" t="s">
        <v>293</v>
      </c>
      <c r="B238" s="14" t="s">
        <v>35</v>
      </c>
      <c r="C238" s="14" t="s">
        <v>36</v>
      </c>
      <c r="D238" s="15" t="n">
        <v>52800</v>
      </c>
      <c r="E238" s="15" t="n">
        <v>18998</v>
      </c>
      <c r="F238" s="16" t="n">
        <f aca="false">1-E238/D238</f>
        <v>0.640189393939394</v>
      </c>
      <c r="G238" s="14" t="n">
        <v>84</v>
      </c>
      <c r="H238" s="14" t="n">
        <v>1200</v>
      </c>
      <c r="I238" s="14" t="n">
        <v>900</v>
      </c>
      <c r="J238" s="14" t="str">
        <f aca="false">IF(E238&lt;=100000,"Sim","Não")</f>
        <v>Sim</v>
      </c>
    </row>
    <row r="239" customFormat="false" ht="15" hidden="false" customHeight="false" outlineLevel="0" collapsed="false">
      <c r="A239" s="14" t="s">
        <v>294</v>
      </c>
      <c r="B239" s="14" t="s">
        <v>35</v>
      </c>
      <c r="C239" s="14" t="s">
        <v>36</v>
      </c>
      <c r="D239" s="15" t="n">
        <v>122246</v>
      </c>
      <c r="E239" s="15" t="n">
        <v>87196</v>
      </c>
      <c r="F239" s="16" t="n">
        <f aca="false">1-E239/D239</f>
        <v>0.286716947793793</v>
      </c>
      <c r="G239" s="14" t="n">
        <v>84</v>
      </c>
      <c r="H239" s="14" t="n">
        <v>1200</v>
      </c>
      <c r="I239" s="14" t="n">
        <v>900</v>
      </c>
      <c r="J239" s="14" t="str">
        <f aca="false">IF(E239&lt;=100000,"Sim","Não")</f>
        <v>Sim</v>
      </c>
    </row>
    <row r="240" customFormat="false" ht="15" hidden="false" customHeight="false" outlineLevel="0" collapsed="false">
      <c r="A240" s="14" t="s">
        <v>295</v>
      </c>
      <c r="B240" s="14" t="s">
        <v>35</v>
      </c>
      <c r="C240" s="14" t="s">
        <v>36</v>
      </c>
      <c r="D240" s="15" t="n">
        <v>164048</v>
      </c>
      <c r="E240" s="15" t="n">
        <v>92980</v>
      </c>
      <c r="F240" s="16" t="n">
        <f aca="false">1-E240/D240</f>
        <v>0.433214668877402</v>
      </c>
      <c r="G240" s="14" t="n">
        <v>80</v>
      </c>
      <c r="H240" s="14" t="n">
        <v>1200</v>
      </c>
      <c r="I240" s="14" t="n">
        <v>900</v>
      </c>
      <c r="J240" s="14" t="str">
        <f aca="false">IF(E240&lt;=100000,"Sim","Não")</f>
        <v>Sim</v>
      </c>
    </row>
    <row r="241" customFormat="false" ht="15" hidden="false" customHeight="false" outlineLevel="0" collapsed="false">
      <c r="A241" s="14" t="s">
        <v>296</v>
      </c>
      <c r="B241" s="14" t="s">
        <v>35</v>
      </c>
      <c r="C241" s="14" t="s">
        <v>36</v>
      </c>
      <c r="D241" s="15" t="n">
        <v>44351</v>
      </c>
      <c r="E241" s="15" t="n">
        <v>28556</v>
      </c>
      <c r="F241" s="16" t="n">
        <f aca="false">1-E241/D241</f>
        <v>0.356136276521386</v>
      </c>
      <c r="G241" s="14" t="n">
        <v>84</v>
      </c>
      <c r="H241" s="14" t="n">
        <v>603</v>
      </c>
      <c r="I241" s="14" t="n">
        <v>489</v>
      </c>
      <c r="J241" s="14" t="str">
        <f aca="false">IF(E241&lt;=100000,"Sim","Não")</f>
        <v>Sim</v>
      </c>
    </row>
    <row r="242" customFormat="false" ht="15" hidden="false" customHeight="false" outlineLevel="0" collapsed="false">
      <c r="A242" s="14" t="s">
        <v>297</v>
      </c>
      <c r="B242" s="14" t="s">
        <v>35</v>
      </c>
      <c r="C242" s="14" t="s">
        <v>36</v>
      </c>
      <c r="D242" s="15" t="n">
        <v>51645</v>
      </c>
      <c r="E242" s="15" t="n">
        <v>16088</v>
      </c>
      <c r="F242" s="16" t="n">
        <f aca="false">1-E242/D242</f>
        <v>0.68848872107658</v>
      </c>
      <c r="G242" s="14" t="n">
        <v>84</v>
      </c>
      <c r="H242" s="14" t="n">
        <v>1200</v>
      </c>
      <c r="I242" s="14" t="n">
        <v>900</v>
      </c>
      <c r="J242" s="14" t="str">
        <f aca="false">IF(E242&lt;=100000,"Sim","Não")</f>
        <v>Sim</v>
      </c>
    </row>
    <row r="243" customFormat="false" ht="15" hidden="false" customHeight="false" outlineLevel="0" collapsed="false">
      <c r="A243" s="14" t="s">
        <v>298</v>
      </c>
      <c r="B243" s="14" t="s">
        <v>35</v>
      </c>
      <c r="C243" s="14" t="s">
        <v>36</v>
      </c>
      <c r="D243" s="15" t="n">
        <v>138480</v>
      </c>
      <c r="E243" s="15" t="n">
        <v>63232</v>
      </c>
      <c r="F243" s="16" t="n">
        <f aca="false">1-E243/D243</f>
        <v>0.543385326400924</v>
      </c>
      <c r="G243" s="14" t="n">
        <v>84</v>
      </c>
      <c r="H243" s="14" t="n">
        <v>1200</v>
      </c>
      <c r="I243" s="14" t="n">
        <v>900</v>
      </c>
      <c r="J243" s="14" t="str">
        <f aca="false">IF(E243&lt;=100000,"Sim","Não")</f>
        <v>Sim</v>
      </c>
    </row>
    <row r="244" customFormat="false" ht="15" hidden="false" customHeight="false" outlineLevel="0" collapsed="false">
      <c r="A244" s="14" t="s">
        <v>299</v>
      </c>
      <c r="B244" s="14" t="s">
        <v>35</v>
      </c>
      <c r="C244" s="14" t="s">
        <v>36</v>
      </c>
      <c r="D244" s="15" t="n">
        <v>112003</v>
      </c>
      <c r="E244" s="15" t="n">
        <v>41860</v>
      </c>
      <c r="F244" s="16" t="n">
        <f aca="false">1-E244/D244</f>
        <v>0.626260010892565</v>
      </c>
      <c r="G244" s="14" t="n">
        <v>84</v>
      </c>
      <c r="H244" s="14" t="n">
        <v>1200</v>
      </c>
      <c r="I244" s="14" t="n">
        <v>900</v>
      </c>
      <c r="J244" s="14" t="str">
        <f aca="false">IF(E244&lt;=100000,"Sim","Não")</f>
        <v>Sim</v>
      </c>
    </row>
    <row r="245" customFormat="false" ht="15" hidden="false" customHeight="false" outlineLevel="0" collapsed="false">
      <c r="A245" s="14" t="s">
        <v>300</v>
      </c>
      <c r="B245" s="14" t="s">
        <v>35</v>
      </c>
      <c r="C245" s="14" t="s">
        <v>36</v>
      </c>
      <c r="D245" s="15" t="n">
        <v>153158</v>
      </c>
      <c r="E245" s="15" t="n">
        <v>92748</v>
      </c>
      <c r="F245" s="16" t="n">
        <f aca="false">1-E245/D245</f>
        <v>0.394429282179188</v>
      </c>
      <c r="G245" s="14" t="n">
        <v>80</v>
      </c>
      <c r="H245" s="14" t="n">
        <v>1200</v>
      </c>
      <c r="I245" s="14" t="n">
        <v>900</v>
      </c>
      <c r="J245" s="14" t="str">
        <f aca="false">IF(E245&lt;=100000,"Sim","Não")</f>
        <v>Sim</v>
      </c>
    </row>
    <row r="246" customFormat="false" ht="15" hidden="false" customHeight="false" outlineLevel="0" collapsed="false">
      <c r="A246" s="14" t="s">
        <v>301</v>
      </c>
      <c r="B246" s="14" t="s">
        <v>35</v>
      </c>
      <c r="C246" s="14" t="s">
        <v>36</v>
      </c>
      <c r="D246" s="15" t="n">
        <v>131006</v>
      </c>
      <c r="E246" s="15" t="n">
        <v>95806</v>
      </c>
      <c r="F246" s="16" t="n">
        <f aca="false">1-E246/D246</f>
        <v>0.26868998366487</v>
      </c>
      <c r="G246" s="14" t="n">
        <v>84</v>
      </c>
      <c r="H246" s="14" t="n">
        <v>1200</v>
      </c>
      <c r="I246" s="14" t="n">
        <v>900</v>
      </c>
      <c r="J246" s="14" t="str">
        <f aca="false">IF(E246&lt;=100000,"Sim","Não")</f>
        <v>Sim</v>
      </c>
    </row>
    <row r="247" customFormat="false" ht="15" hidden="false" customHeight="false" outlineLevel="0" collapsed="false">
      <c r="A247" s="14" t="s">
        <v>302</v>
      </c>
      <c r="B247" s="14" t="s">
        <v>35</v>
      </c>
      <c r="C247" s="14" t="s">
        <v>36</v>
      </c>
      <c r="D247" s="15" t="n">
        <v>108500</v>
      </c>
      <c r="E247" s="15" t="n">
        <v>71280</v>
      </c>
      <c r="F247" s="16" t="n">
        <f aca="false">1-E247/D247</f>
        <v>0.343041474654378</v>
      </c>
      <c r="G247" s="14" t="n">
        <v>84</v>
      </c>
      <c r="H247" s="14" t="n">
        <v>1200</v>
      </c>
      <c r="I247" s="14" t="n">
        <v>900</v>
      </c>
      <c r="J247" s="14" t="str">
        <f aca="false">IF(E247&lt;=100000,"Sim","Não")</f>
        <v>Sim</v>
      </c>
    </row>
    <row r="248" customFormat="false" ht="15" hidden="false" customHeight="false" outlineLevel="0" collapsed="false">
      <c r="A248" s="14" t="s">
        <v>303</v>
      </c>
      <c r="B248" s="14" t="s">
        <v>35</v>
      </c>
      <c r="C248" s="14" t="s">
        <v>36</v>
      </c>
      <c r="D248" s="15" t="n">
        <v>119085</v>
      </c>
      <c r="E248" s="15" t="n">
        <v>78108</v>
      </c>
      <c r="F248" s="16" t="n">
        <f aca="false">1-E248/D248</f>
        <v>0.344098752991561</v>
      </c>
      <c r="G248" s="14" t="n">
        <v>84</v>
      </c>
      <c r="H248" s="14" t="n">
        <v>1200</v>
      </c>
      <c r="I248" s="14" t="n">
        <v>900</v>
      </c>
      <c r="J248" s="14" t="str">
        <f aca="false">IF(E248&lt;=100000,"Sim","Não")</f>
        <v>Sim</v>
      </c>
    </row>
    <row r="249" customFormat="false" ht="15" hidden="false" customHeight="false" outlineLevel="0" collapsed="false">
      <c r="A249" s="14" t="s">
        <v>304</v>
      </c>
      <c r="B249" s="14" t="s">
        <v>35</v>
      </c>
      <c r="C249" s="14" t="s">
        <v>36</v>
      </c>
      <c r="D249" s="15" t="n">
        <v>107437</v>
      </c>
      <c r="E249" s="15" t="n">
        <v>50798</v>
      </c>
      <c r="F249" s="16" t="n">
        <f aca="false">1-E249/D249</f>
        <v>0.527183372581141</v>
      </c>
      <c r="G249" s="14" t="n">
        <v>84</v>
      </c>
      <c r="H249" s="14" t="n">
        <v>1200</v>
      </c>
      <c r="I249" s="14" t="n">
        <v>900</v>
      </c>
      <c r="J249" s="14" t="str">
        <f aca="false">IF(E249&lt;=100000,"Sim","Não")</f>
        <v>Sim</v>
      </c>
    </row>
    <row r="250" customFormat="false" ht="15" hidden="false" customHeight="false" outlineLevel="0" collapsed="false">
      <c r="A250" s="14" t="s">
        <v>305</v>
      </c>
      <c r="B250" s="14" t="s">
        <v>35</v>
      </c>
      <c r="C250" s="14" t="s">
        <v>36</v>
      </c>
      <c r="D250" s="15" t="n">
        <v>199385</v>
      </c>
      <c r="E250" s="15" t="n">
        <v>91540</v>
      </c>
      <c r="F250" s="16" t="n">
        <f aca="false">1-E250/D250</f>
        <v>0.540888231311282</v>
      </c>
      <c r="G250" s="14" t="n">
        <v>76</v>
      </c>
      <c r="H250" s="14" t="n">
        <v>1000</v>
      </c>
      <c r="I250" s="14" t="n">
        <v>750</v>
      </c>
      <c r="J250" s="14" t="str">
        <f aca="false">IF(E250&lt;=100000,"Sim","Não")</f>
        <v>Sim</v>
      </c>
    </row>
    <row r="251" customFormat="false" ht="15" hidden="false" customHeight="false" outlineLevel="0" collapsed="false">
      <c r="A251" s="14" t="s">
        <v>306</v>
      </c>
      <c r="B251" s="14" t="s">
        <v>35</v>
      </c>
      <c r="C251" s="14" t="s">
        <v>36</v>
      </c>
      <c r="D251" s="15" t="n">
        <v>112873</v>
      </c>
      <c r="E251" s="15" t="n">
        <v>71302</v>
      </c>
      <c r="F251" s="16" t="n">
        <f aca="false">1-E251/D251</f>
        <v>0.368298884587102</v>
      </c>
      <c r="G251" s="14" t="n">
        <v>84</v>
      </c>
      <c r="H251" s="14" t="n">
        <v>1200</v>
      </c>
      <c r="I251" s="14" t="n">
        <v>900</v>
      </c>
      <c r="J251" s="14" t="str">
        <f aca="false">IF(E251&lt;=100000,"Sim","Não")</f>
        <v>Sim</v>
      </c>
    </row>
    <row r="252" customFormat="false" ht="15" hidden="false" customHeight="false" outlineLevel="0" collapsed="false">
      <c r="A252" s="14" t="s">
        <v>307</v>
      </c>
      <c r="B252" s="14" t="s">
        <v>35</v>
      </c>
      <c r="C252" s="14" t="s">
        <v>36</v>
      </c>
      <c r="D252" s="15" t="n">
        <v>181240</v>
      </c>
      <c r="E252" s="15" t="n">
        <v>76564</v>
      </c>
      <c r="F252" s="16" t="n">
        <f aca="false">1-E252/D252</f>
        <v>0.577554623703377</v>
      </c>
      <c r="G252" s="14" t="n">
        <v>76</v>
      </c>
      <c r="H252" s="14" t="n">
        <v>1200</v>
      </c>
      <c r="I252" s="14" t="n">
        <v>900</v>
      </c>
      <c r="J252" s="14" t="str">
        <f aca="false">IF(E252&lt;=100000,"Sim","Não")</f>
        <v>Sim</v>
      </c>
    </row>
    <row r="253" customFormat="false" ht="15" hidden="false" customHeight="false" outlineLevel="0" collapsed="false">
      <c r="A253" s="14" t="s">
        <v>308</v>
      </c>
      <c r="B253" s="14" t="s">
        <v>35</v>
      </c>
      <c r="C253" s="14" t="s">
        <v>36</v>
      </c>
      <c r="D253" s="15" t="n">
        <v>102357</v>
      </c>
      <c r="E253" s="15" t="n">
        <v>41860</v>
      </c>
      <c r="F253" s="16" t="n">
        <f aca="false">1-E253/D253</f>
        <v>0.591039205916547</v>
      </c>
      <c r="G253" s="14" t="n">
        <v>84</v>
      </c>
      <c r="H253" s="14" t="n">
        <v>1200</v>
      </c>
      <c r="I253" s="14" t="n">
        <v>900</v>
      </c>
      <c r="J253" s="14" t="str">
        <f aca="false">IF(E253&lt;=100000,"Sim","Não")</f>
        <v>Sim</v>
      </c>
    </row>
    <row r="254" customFormat="false" ht="15" hidden="false" customHeight="false" outlineLevel="0" collapsed="false">
      <c r="A254" s="14" t="s">
        <v>309</v>
      </c>
      <c r="B254" s="14" t="s">
        <v>35</v>
      </c>
      <c r="C254" s="14" t="s">
        <v>36</v>
      </c>
      <c r="D254" s="15" t="n">
        <v>9455</v>
      </c>
      <c r="E254" s="15" t="n">
        <v>1832</v>
      </c>
      <c r="F254" s="16" t="n">
        <f aca="false">1-E254/D254</f>
        <v>0.806240084611317</v>
      </c>
      <c r="G254" s="14" t="n">
        <v>84</v>
      </c>
      <c r="H254" s="14" t="n">
        <v>320</v>
      </c>
      <c r="I254" s="14" t="n">
        <v>209</v>
      </c>
      <c r="J254" s="14" t="str">
        <f aca="false">IF(E254&lt;=100000,"Sim","Não")</f>
        <v>Sim</v>
      </c>
    </row>
    <row r="255" customFormat="false" ht="15" hidden="false" customHeight="false" outlineLevel="0" collapsed="false">
      <c r="A255" s="14" t="s">
        <v>310</v>
      </c>
      <c r="B255" s="14" t="s">
        <v>35</v>
      </c>
      <c r="C255" s="14" t="s">
        <v>36</v>
      </c>
      <c r="D255" s="15" t="n">
        <v>10139</v>
      </c>
      <c r="E255" s="15" t="n">
        <v>2378</v>
      </c>
      <c r="F255" s="16" t="n">
        <f aca="false">1-E255/D255</f>
        <v>0.7654601045468</v>
      </c>
      <c r="G255" s="14" t="n">
        <v>84</v>
      </c>
      <c r="H255" s="14" t="n">
        <v>320</v>
      </c>
      <c r="I255" s="14" t="n">
        <v>209</v>
      </c>
      <c r="J255" s="14" t="str">
        <f aca="false">IF(E255&lt;=100000,"Sim","Não")</f>
        <v>Sim</v>
      </c>
    </row>
    <row r="256" customFormat="false" ht="15" hidden="false" customHeight="false" outlineLevel="0" collapsed="false">
      <c r="A256" s="14" t="s">
        <v>311</v>
      </c>
      <c r="B256" s="14" t="s">
        <v>35</v>
      </c>
      <c r="C256" s="14" t="s">
        <v>36</v>
      </c>
      <c r="D256" s="15" t="n">
        <v>284071</v>
      </c>
      <c r="E256" s="15" t="n">
        <v>91958</v>
      </c>
      <c r="F256" s="16" t="n">
        <f aca="false">1-E256/D256</f>
        <v>0.676285154063597</v>
      </c>
      <c r="G256" s="14" t="n">
        <v>68</v>
      </c>
      <c r="H256" s="14" t="n">
        <v>920</v>
      </c>
      <c r="I256" s="14" t="n">
        <v>690</v>
      </c>
      <c r="J256" s="14" t="str">
        <f aca="false">IF(E256&lt;=100000,"Sim","Não")</f>
        <v>Sim</v>
      </c>
    </row>
    <row r="257" customFormat="false" ht="15" hidden="false" customHeight="false" outlineLevel="0" collapsed="false">
      <c r="A257" s="14" t="s">
        <v>312</v>
      </c>
      <c r="B257" s="14" t="s">
        <v>37</v>
      </c>
      <c r="C257" s="14" t="s">
        <v>38</v>
      </c>
      <c r="D257" s="15" t="n">
        <v>177438</v>
      </c>
      <c r="E257" s="15" t="n">
        <v>85174</v>
      </c>
      <c r="F257" s="16" t="n">
        <f aca="false">1-E257/D257</f>
        <v>0.519978809499656</v>
      </c>
      <c r="G257" s="14" t="n">
        <v>84</v>
      </c>
      <c r="H257" s="14" t="n">
        <v>864</v>
      </c>
      <c r="I257" s="14" t="n">
        <v>1080</v>
      </c>
      <c r="J257" s="14" t="str">
        <f aca="false">IF(E257&lt;=100000,"Sim","Não")</f>
        <v>Sim</v>
      </c>
    </row>
    <row r="258" customFormat="false" ht="15" hidden="false" customHeight="false" outlineLevel="0" collapsed="false">
      <c r="A258" s="14" t="s">
        <v>313</v>
      </c>
      <c r="B258" s="14" t="s">
        <v>37</v>
      </c>
      <c r="C258" s="14" t="s">
        <v>38</v>
      </c>
      <c r="D258" s="15" t="n">
        <v>189837</v>
      </c>
      <c r="E258" s="15" t="n">
        <v>92758</v>
      </c>
      <c r="F258" s="16" t="n">
        <f aca="false">1-E258/D258</f>
        <v>0.511380816173876</v>
      </c>
      <c r="G258" s="14" t="n">
        <v>80</v>
      </c>
      <c r="H258" s="14" t="n">
        <v>721</v>
      </c>
      <c r="I258" s="14" t="n">
        <v>1080</v>
      </c>
      <c r="J258" s="14" t="str">
        <f aca="false">IF(E258&lt;=100000,"Sim","Não")</f>
        <v>Sim</v>
      </c>
    </row>
    <row r="259" customFormat="false" ht="15" hidden="false" customHeight="false" outlineLevel="0" collapsed="false">
      <c r="A259" s="14" t="s">
        <v>314</v>
      </c>
      <c r="B259" s="14" t="s">
        <v>37</v>
      </c>
      <c r="C259" s="14" t="s">
        <v>38</v>
      </c>
      <c r="D259" s="15" t="n">
        <v>224636</v>
      </c>
      <c r="E259" s="15" t="n">
        <v>87340</v>
      </c>
      <c r="F259" s="16" t="n">
        <f aca="false">1-E259/D259</f>
        <v>0.61119321925248</v>
      </c>
      <c r="G259" s="14" t="n">
        <v>80</v>
      </c>
      <c r="H259" s="14" t="n">
        <v>721</v>
      </c>
      <c r="I259" s="14" t="n">
        <v>1080</v>
      </c>
      <c r="J259" s="14" t="str">
        <f aca="false">IF(E259&lt;=100000,"Sim","Não")</f>
        <v>Sim</v>
      </c>
    </row>
    <row r="260" customFormat="false" ht="15" hidden="false" customHeight="false" outlineLevel="0" collapsed="false">
      <c r="A260" s="14" t="s">
        <v>315</v>
      </c>
      <c r="B260" s="14" t="s">
        <v>37</v>
      </c>
      <c r="C260" s="14" t="s">
        <v>38</v>
      </c>
      <c r="D260" s="15" t="n">
        <v>137910</v>
      </c>
      <c r="E260" s="15" t="n">
        <v>58294</v>
      </c>
      <c r="F260" s="16" t="n">
        <f aca="false">1-E260/D260</f>
        <v>0.577304038865927</v>
      </c>
      <c r="G260" s="14" t="n">
        <v>84</v>
      </c>
      <c r="H260" s="14" t="n">
        <v>720</v>
      </c>
      <c r="I260" s="14" t="n">
        <v>1080</v>
      </c>
      <c r="J260" s="14" t="str">
        <f aca="false">IF(E260&lt;=100000,"Sim","Não")</f>
        <v>Sim</v>
      </c>
    </row>
    <row r="261" customFormat="false" ht="15" hidden="false" customHeight="false" outlineLevel="0" collapsed="false">
      <c r="A261" s="14" t="s">
        <v>316</v>
      </c>
      <c r="B261" s="14" t="s">
        <v>37</v>
      </c>
      <c r="C261" s="14" t="s">
        <v>38</v>
      </c>
      <c r="D261" s="15" t="n">
        <v>257581</v>
      </c>
      <c r="E261" s="15" t="n">
        <v>92672</v>
      </c>
      <c r="F261" s="16" t="n">
        <f aca="false">1-E261/D261</f>
        <v>0.640221910777581</v>
      </c>
      <c r="G261" s="14" t="n">
        <v>68</v>
      </c>
      <c r="H261" s="14" t="n">
        <v>814</v>
      </c>
      <c r="I261" s="14" t="n">
        <v>1080</v>
      </c>
      <c r="J261" s="14" t="str">
        <f aca="false">IF(E261&lt;=100000,"Sim","Não")</f>
        <v>Sim</v>
      </c>
    </row>
    <row r="262" customFormat="false" ht="15" hidden="false" customHeight="false" outlineLevel="0" collapsed="false">
      <c r="A262" s="14" t="s">
        <v>317</v>
      </c>
      <c r="B262" s="14" t="s">
        <v>37</v>
      </c>
      <c r="C262" s="14" t="s">
        <v>38</v>
      </c>
      <c r="D262" s="15" t="n">
        <v>181233</v>
      </c>
      <c r="E262" s="15" t="n">
        <v>92650</v>
      </c>
      <c r="F262" s="16" t="n">
        <f aca="false">1-E262/D262</f>
        <v>0.48877963726253</v>
      </c>
      <c r="G262" s="14" t="n">
        <v>84</v>
      </c>
      <c r="H262" s="14" t="n">
        <v>721</v>
      </c>
      <c r="I262" s="14" t="n">
        <v>1080</v>
      </c>
      <c r="J262" s="14" t="str">
        <f aca="false">IF(E262&lt;=100000,"Sim","Não")</f>
        <v>Sim</v>
      </c>
    </row>
    <row r="263" customFormat="false" ht="15" hidden="false" customHeight="false" outlineLevel="0" collapsed="false">
      <c r="A263" s="14" t="s">
        <v>318</v>
      </c>
      <c r="B263" s="14" t="s">
        <v>37</v>
      </c>
      <c r="C263" s="14" t="s">
        <v>38</v>
      </c>
      <c r="D263" s="15" t="n">
        <v>228940</v>
      </c>
      <c r="E263" s="15" t="n">
        <v>85064</v>
      </c>
      <c r="F263" s="16" t="n">
        <f aca="false">1-E263/D263</f>
        <v>0.628444133834192</v>
      </c>
      <c r="G263" s="14" t="n">
        <v>76</v>
      </c>
      <c r="H263" s="14" t="n">
        <v>721</v>
      </c>
      <c r="I263" s="14" t="n">
        <v>1080</v>
      </c>
      <c r="J263" s="14" t="str">
        <f aca="false">IF(E263&lt;=100000,"Sim","Não")</f>
        <v>Sim</v>
      </c>
    </row>
    <row r="264" customFormat="false" ht="15" hidden="false" customHeight="false" outlineLevel="0" collapsed="false">
      <c r="A264" s="14" t="s">
        <v>319</v>
      </c>
      <c r="B264" s="14" t="s">
        <v>37</v>
      </c>
      <c r="C264" s="14" t="s">
        <v>38</v>
      </c>
      <c r="D264" s="15" t="n">
        <v>235673</v>
      </c>
      <c r="E264" s="15" t="n">
        <v>92648</v>
      </c>
      <c r="F264" s="16" t="n">
        <f aca="false">1-E264/D264</f>
        <v>0.606879023053129</v>
      </c>
      <c r="G264" s="14" t="n">
        <v>76</v>
      </c>
      <c r="H264" s="14" t="n">
        <v>771</v>
      </c>
      <c r="I264" s="14" t="n">
        <v>1080</v>
      </c>
      <c r="J264" s="14" t="str">
        <f aca="false">IF(E264&lt;=100000,"Sim","Não")</f>
        <v>Sim</v>
      </c>
    </row>
    <row r="265" customFormat="false" ht="15" hidden="false" customHeight="false" outlineLevel="0" collapsed="false">
      <c r="A265" s="14" t="s">
        <v>320</v>
      </c>
      <c r="B265" s="14" t="s">
        <v>37</v>
      </c>
      <c r="C265" s="14" t="s">
        <v>38</v>
      </c>
      <c r="D265" s="15" t="n">
        <v>124770</v>
      </c>
      <c r="E265" s="15" t="n">
        <v>47326</v>
      </c>
      <c r="F265" s="16" t="n">
        <f aca="false">1-E265/D265</f>
        <v>0.620694077101867</v>
      </c>
      <c r="G265" s="14" t="n">
        <v>84</v>
      </c>
      <c r="H265" s="14" t="n">
        <v>863</v>
      </c>
      <c r="I265" s="14" t="n">
        <v>1080</v>
      </c>
      <c r="J265" s="14" t="str">
        <f aca="false">IF(E265&lt;=100000,"Sim","Não")</f>
        <v>Sim</v>
      </c>
    </row>
    <row r="266" customFormat="false" ht="15" hidden="false" customHeight="false" outlineLevel="0" collapsed="false">
      <c r="A266" s="14" t="s">
        <v>321</v>
      </c>
      <c r="B266" s="14" t="s">
        <v>37</v>
      </c>
      <c r="C266" s="14" t="s">
        <v>38</v>
      </c>
      <c r="D266" s="15" t="n">
        <v>212515</v>
      </c>
      <c r="E266" s="15" t="n">
        <v>89704</v>
      </c>
      <c r="F266" s="16" t="n">
        <f aca="false">1-E266/D266</f>
        <v>0.577893325177046</v>
      </c>
      <c r="G266" s="14" t="n">
        <v>76</v>
      </c>
      <c r="H266" s="14" t="n">
        <v>848</v>
      </c>
      <c r="I266" s="14" t="n">
        <v>1080</v>
      </c>
      <c r="J266" s="14" t="str">
        <f aca="false">IF(E266&lt;=100000,"Sim","Não")</f>
        <v>Sim</v>
      </c>
    </row>
    <row r="267" customFormat="false" ht="15" hidden="false" customHeight="false" outlineLevel="0" collapsed="false">
      <c r="A267" s="14" t="s">
        <v>322</v>
      </c>
      <c r="B267" s="14" t="s">
        <v>37</v>
      </c>
      <c r="C267" s="14" t="s">
        <v>38</v>
      </c>
      <c r="D267" s="15" t="n">
        <v>158266</v>
      </c>
      <c r="E267" s="15" t="n">
        <v>78828</v>
      </c>
      <c r="F267" s="16" t="n">
        <f aca="false">1-E267/D267</f>
        <v>0.50192713532913</v>
      </c>
      <c r="G267" s="14" t="n">
        <v>84</v>
      </c>
      <c r="H267" s="14" t="n">
        <v>721</v>
      </c>
      <c r="I267" s="14" t="n">
        <v>1080</v>
      </c>
      <c r="J267" s="14" t="str">
        <f aca="false">IF(E267&lt;=100000,"Sim","Não")</f>
        <v>Sim</v>
      </c>
    </row>
    <row r="268" customFormat="false" ht="15" hidden="false" customHeight="false" outlineLevel="0" collapsed="false">
      <c r="A268" s="14" t="s">
        <v>323</v>
      </c>
      <c r="B268" s="14" t="s">
        <v>37</v>
      </c>
      <c r="C268" s="14" t="s">
        <v>38</v>
      </c>
      <c r="D268" s="15" t="n">
        <v>161855</v>
      </c>
      <c r="E268" s="15" t="n">
        <v>83694</v>
      </c>
      <c r="F268" s="16" t="n">
        <f aca="false">1-E268/D268</f>
        <v>0.482907540700009</v>
      </c>
      <c r="G268" s="14" t="n">
        <v>84</v>
      </c>
      <c r="H268" s="14" t="n">
        <v>810</v>
      </c>
      <c r="I268" s="14" t="n">
        <v>1080</v>
      </c>
      <c r="J268" s="14" t="str">
        <f aca="false">IF(E268&lt;=100000,"Sim","Não")</f>
        <v>Sim</v>
      </c>
    </row>
    <row r="269" customFormat="false" ht="15" hidden="false" customHeight="false" outlineLevel="0" collapsed="false">
      <c r="A269" s="14" t="s">
        <v>324</v>
      </c>
      <c r="B269" s="14" t="s">
        <v>37</v>
      </c>
      <c r="C269" s="14" t="s">
        <v>38</v>
      </c>
      <c r="D269" s="15" t="n">
        <v>25279</v>
      </c>
      <c r="E269" s="15" t="n">
        <v>15530</v>
      </c>
      <c r="F269" s="16" t="n">
        <f aca="false">1-E269/D269</f>
        <v>0.385656078167649</v>
      </c>
      <c r="G269" s="14" t="n">
        <v>84</v>
      </c>
      <c r="H269" s="14" t="n">
        <v>320</v>
      </c>
      <c r="I269" s="14" t="n">
        <v>324</v>
      </c>
      <c r="J269" s="14" t="str">
        <f aca="false">IF(E269&lt;=100000,"Sim","Não")</f>
        <v>Sim</v>
      </c>
    </row>
    <row r="270" customFormat="false" ht="15" hidden="false" customHeight="false" outlineLevel="0" collapsed="false">
      <c r="A270" s="14" t="s">
        <v>325</v>
      </c>
      <c r="B270" s="14" t="s">
        <v>37</v>
      </c>
      <c r="C270" s="14" t="s">
        <v>38</v>
      </c>
      <c r="D270" s="15" t="n">
        <v>23608</v>
      </c>
      <c r="E270" s="15" t="n">
        <v>14846</v>
      </c>
      <c r="F270" s="16" t="n">
        <f aca="false">1-E270/D270</f>
        <v>0.371145374449339</v>
      </c>
      <c r="G270" s="14" t="n">
        <v>84</v>
      </c>
      <c r="H270" s="14" t="n">
        <v>320</v>
      </c>
      <c r="I270" s="14" t="n">
        <v>324</v>
      </c>
      <c r="J270" s="14" t="str">
        <f aca="false">IF(E270&lt;=100000,"Sim","Não")</f>
        <v>Sim</v>
      </c>
    </row>
    <row r="271" customFormat="false" ht="15" hidden="false" customHeight="false" outlineLevel="0" collapsed="false">
      <c r="A271" s="14" t="s">
        <v>326</v>
      </c>
      <c r="B271" s="14" t="s">
        <v>39</v>
      </c>
      <c r="C271" s="14" t="s">
        <v>40</v>
      </c>
      <c r="D271" s="15" t="n">
        <v>145457</v>
      </c>
      <c r="E271" s="15" t="n">
        <v>64926</v>
      </c>
      <c r="F271" s="16" t="n">
        <f aca="false">1-E271/D271</f>
        <v>0.553641282303361</v>
      </c>
      <c r="G271" s="14" t="n">
        <v>84</v>
      </c>
      <c r="H271" s="14" t="n">
        <v>1080</v>
      </c>
      <c r="I271" s="14" t="n">
        <v>720</v>
      </c>
      <c r="J271" s="14" t="str">
        <f aca="false">IF(E271&lt;=100000,"Sim","Não")</f>
        <v>Sim</v>
      </c>
    </row>
    <row r="272" customFormat="false" ht="15" hidden="false" customHeight="false" outlineLevel="0" collapsed="false">
      <c r="A272" s="14" t="s">
        <v>327</v>
      </c>
      <c r="B272" s="14" t="s">
        <v>39</v>
      </c>
      <c r="C272" s="14" t="s">
        <v>40</v>
      </c>
      <c r="D272" s="15" t="n">
        <v>113393</v>
      </c>
      <c r="E272" s="15" t="n">
        <v>43386</v>
      </c>
      <c r="F272" s="16" t="n">
        <f aca="false">1-E272/D272</f>
        <v>0.617383789122785</v>
      </c>
      <c r="G272" s="14" t="n">
        <v>84</v>
      </c>
      <c r="H272" s="14" t="n">
        <v>1080</v>
      </c>
      <c r="I272" s="14" t="n">
        <v>810</v>
      </c>
      <c r="J272" s="14" t="str">
        <f aca="false">IF(E272&lt;=100000,"Sim","Não")</f>
        <v>Sim</v>
      </c>
    </row>
    <row r="273" customFormat="false" ht="15" hidden="false" customHeight="false" outlineLevel="0" collapsed="false">
      <c r="A273" s="14" t="s">
        <v>328</v>
      </c>
      <c r="B273" s="14" t="s">
        <v>39</v>
      </c>
      <c r="C273" s="14" t="s">
        <v>40</v>
      </c>
      <c r="D273" s="15" t="n">
        <v>235883</v>
      </c>
      <c r="E273" s="15" t="n">
        <v>96366</v>
      </c>
      <c r="F273" s="16" t="n">
        <f aca="false">1-E273/D273</f>
        <v>0.591466956075682</v>
      </c>
      <c r="G273" s="14" t="n">
        <v>76</v>
      </c>
      <c r="H273" s="14" t="n">
        <v>1080</v>
      </c>
      <c r="I273" s="14" t="n">
        <v>720</v>
      </c>
      <c r="J273" s="14" t="str">
        <f aca="false">IF(E273&lt;=100000,"Sim","Não")</f>
        <v>Sim</v>
      </c>
    </row>
    <row r="274" customFormat="false" ht="15" hidden="false" customHeight="false" outlineLevel="0" collapsed="false">
      <c r="A274" s="14" t="s">
        <v>329</v>
      </c>
      <c r="B274" s="14" t="s">
        <v>39</v>
      </c>
      <c r="C274" s="14" t="s">
        <v>40</v>
      </c>
      <c r="D274" s="15" t="n">
        <v>149102</v>
      </c>
      <c r="E274" s="15" t="n">
        <v>68748</v>
      </c>
      <c r="F274" s="16" t="n">
        <f aca="false">1-E274/D274</f>
        <v>0.538919665732183</v>
      </c>
      <c r="G274" s="14" t="n">
        <v>84</v>
      </c>
      <c r="H274" s="14" t="n">
        <v>1080</v>
      </c>
      <c r="I274" s="14" t="n">
        <v>721</v>
      </c>
      <c r="J274" s="14" t="str">
        <f aca="false">IF(E274&lt;=100000,"Sim","Não")</f>
        <v>Sim</v>
      </c>
    </row>
    <row r="275" customFormat="false" ht="15" hidden="false" customHeight="false" outlineLevel="0" collapsed="false">
      <c r="A275" s="14" t="s">
        <v>330</v>
      </c>
      <c r="B275" s="14" t="s">
        <v>39</v>
      </c>
      <c r="C275" s="14" t="s">
        <v>40</v>
      </c>
      <c r="D275" s="15" t="n">
        <v>147650</v>
      </c>
      <c r="E275" s="15" t="n">
        <v>61518</v>
      </c>
      <c r="F275" s="16" t="n">
        <f aca="false">1-E275/D275</f>
        <v>0.583352522858111</v>
      </c>
      <c r="G275" s="14" t="n">
        <v>84</v>
      </c>
      <c r="H275" s="14" t="n">
        <v>1080</v>
      </c>
      <c r="I275" s="14" t="n">
        <v>721</v>
      </c>
      <c r="J275" s="14" t="str">
        <f aca="false">IF(E275&lt;=100000,"Sim","Não")</f>
        <v>Sim</v>
      </c>
    </row>
    <row r="276" customFormat="false" ht="15" hidden="false" customHeight="false" outlineLevel="0" collapsed="false">
      <c r="A276" s="14" t="s">
        <v>331</v>
      </c>
      <c r="B276" s="14" t="s">
        <v>39</v>
      </c>
      <c r="C276" s="14" t="s">
        <v>40</v>
      </c>
      <c r="D276" s="15" t="n">
        <v>102523</v>
      </c>
      <c r="E276" s="15" t="n">
        <v>39792</v>
      </c>
      <c r="F276" s="16" t="n">
        <f aca="false">1-E276/D276</f>
        <v>0.611872457887498</v>
      </c>
      <c r="G276" s="14" t="n">
        <v>84</v>
      </c>
      <c r="H276" s="14" t="n">
        <v>1080</v>
      </c>
      <c r="I276" s="14" t="n">
        <v>721</v>
      </c>
      <c r="J276" s="14" t="str">
        <f aca="false">IF(E276&lt;=100000,"Sim","Não")</f>
        <v>Sim</v>
      </c>
    </row>
    <row r="277" customFormat="false" ht="15" hidden="false" customHeight="false" outlineLevel="0" collapsed="false">
      <c r="A277" s="14" t="s">
        <v>332</v>
      </c>
      <c r="B277" s="14" t="s">
        <v>39</v>
      </c>
      <c r="C277" s="14" t="s">
        <v>40</v>
      </c>
      <c r="D277" s="15" t="n">
        <v>206038</v>
      </c>
      <c r="E277" s="15" t="n">
        <v>94896</v>
      </c>
      <c r="F277" s="16" t="n">
        <f aca="false">1-E277/D277</f>
        <v>0.539424766305245</v>
      </c>
      <c r="G277" s="14" t="n">
        <v>84</v>
      </c>
      <c r="H277" s="14" t="n">
        <v>823</v>
      </c>
      <c r="I277" s="14" t="n">
        <v>1080</v>
      </c>
      <c r="J277" s="14" t="str">
        <f aca="false">IF(E277&lt;=100000,"Sim","Não")</f>
        <v>Sim</v>
      </c>
    </row>
    <row r="278" customFormat="false" ht="15" hidden="false" customHeight="false" outlineLevel="0" collapsed="false">
      <c r="A278" s="14" t="s">
        <v>333</v>
      </c>
      <c r="B278" s="14" t="s">
        <v>39</v>
      </c>
      <c r="C278" s="14" t="s">
        <v>40</v>
      </c>
      <c r="D278" s="15" t="n">
        <v>109925</v>
      </c>
      <c r="E278" s="15" t="n">
        <v>46310</v>
      </c>
      <c r="F278" s="16" t="n">
        <f aca="false">1-E278/D278</f>
        <v>0.578712758699113</v>
      </c>
      <c r="G278" s="14" t="n">
        <v>84</v>
      </c>
      <c r="H278" s="14" t="n">
        <v>1080</v>
      </c>
      <c r="I278" s="14" t="n">
        <v>608</v>
      </c>
      <c r="J278" s="14" t="str">
        <f aca="false">IF(E278&lt;=100000,"Sim","Não")</f>
        <v>Sim</v>
      </c>
    </row>
    <row r="279" customFormat="false" ht="15" hidden="false" customHeight="false" outlineLevel="0" collapsed="false">
      <c r="A279" s="14" t="s">
        <v>334</v>
      </c>
      <c r="B279" s="14" t="s">
        <v>39</v>
      </c>
      <c r="C279" s="14" t="s">
        <v>40</v>
      </c>
      <c r="D279" s="15" t="n">
        <v>102947</v>
      </c>
      <c r="E279" s="15" t="n">
        <v>34582</v>
      </c>
      <c r="F279" s="16" t="n">
        <f aca="false">1-E279/D279</f>
        <v>0.664079574926904</v>
      </c>
      <c r="G279" s="14" t="n">
        <v>84</v>
      </c>
      <c r="H279" s="14" t="n">
        <v>1080</v>
      </c>
      <c r="I279" s="14" t="n">
        <v>768</v>
      </c>
      <c r="J279" s="14" t="str">
        <f aca="false">IF(E279&lt;=100000,"Sim","Não")</f>
        <v>Sim</v>
      </c>
    </row>
    <row r="280" customFormat="false" ht="15" hidden="false" customHeight="false" outlineLevel="0" collapsed="false">
      <c r="A280" s="14" t="s">
        <v>335</v>
      </c>
      <c r="B280" s="14" t="s">
        <v>39</v>
      </c>
      <c r="C280" s="14" t="s">
        <v>40</v>
      </c>
      <c r="D280" s="15" t="n">
        <v>168293</v>
      </c>
      <c r="E280" s="15" t="n">
        <v>89220</v>
      </c>
      <c r="F280" s="16" t="n">
        <f aca="false">1-E280/D280</f>
        <v>0.469853172740399</v>
      </c>
      <c r="G280" s="14" t="n">
        <v>84</v>
      </c>
      <c r="H280" s="14" t="n">
        <v>720</v>
      </c>
      <c r="I280" s="14" t="n">
        <v>1080</v>
      </c>
      <c r="J280" s="14" t="str">
        <f aca="false">IF(E280&lt;=100000,"Sim","Não")</f>
        <v>Sim</v>
      </c>
    </row>
    <row r="281" customFormat="false" ht="15" hidden="false" customHeight="false" outlineLevel="0" collapsed="false">
      <c r="A281" s="14" t="s">
        <v>336</v>
      </c>
      <c r="B281" s="14" t="s">
        <v>39</v>
      </c>
      <c r="C281" s="14" t="s">
        <v>40</v>
      </c>
      <c r="D281" s="15" t="n">
        <v>126830</v>
      </c>
      <c r="E281" s="15" t="n">
        <v>55542</v>
      </c>
      <c r="F281" s="16" t="n">
        <f aca="false">1-E281/D281</f>
        <v>0.562075218796815</v>
      </c>
      <c r="G281" s="14" t="n">
        <v>84</v>
      </c>
      <c r="H281" s="14" t="n">
        <v>1080</v>
      </c>
      <c r="I281" s="14" t="n">
        <v>608</v>
      </c>
      <c r="J281" s="14" t="str">
        <f aca="false">IF(E281&lt;=100000,"Sim","Não")</f>
        <v>Sim</v>
      </c>
    </row>
    <row r="282" customFormat="false" ht="15" hidden="false" customHeight="false" outlineLevel="0" collapsed="false">
      <c r="A282" s="14" t="s">
        <v>337</v>
      </c>
      <c r="B282" s="14" t="s">
        <v>39</v>
      </c>
      <c r="C282" s="14" t="s">
        <v>40</v>
      </c>
      <c r="D282" s="15" t="n">
        <v>101689</v>
      </c>
      <c r="E282" s="15" t="n">
        <v>41788</v>
      </c>
      <c r="F282" s="16" t="n">
        <f aca="false">1-E282/D282</f>
        <v>0.589060763701089</v>
      </c>
      <c r="G282" s="14" t="n">
        <v>84</v>
      </c>
      <c r="H282" s="14" t="n">
        <v>1080</v>
      </c>
      <c r="I282" s="14" t="n">
        <v>721</v>
      </c>
      <c r="J282" s="14" t="str">
        <f aca="false">IF(E282&lt;=100000,"Sim","Não")</f>
        <v>Sim</v>
      </c>
    </row>
    <row r="283" customFormat="false" ht="15" hidden="false" customHeight="false" outlineLevel="0" collapsed="false">
      <c r="A283" s="14" t="s">
        <v>338</v>
      </c>
      <c r="B283" s="14" t="s">
        <v>39</v>
      </c>
      <c r="C283" s="14" t="s">
        <v>40</v>
      </c>
      <c r="D283" s="15" t="n">
        <v>94345</v>
      </c>
      <c r="E283" s="15" t="n">
        <v>75012</v>
      </c>
      <c r="F283" s="16" t="n">
        <f aca="false">1-E283/D283</f>
        <v>0.204918119667179</v>
      </c>
      <c r="G283" s="14" t="n">
        <v>84</v>
      </c>
      <c r="H283" s="14" t="n">
        <v>720</v>
      </c>
      <c r="I283" s="14" t="n">
        <v>1080</v>
      </c>
      <c r="J283" s="14" t="str">
        <f aca="false">IF(E283&lt;=100000,"Sim","Não")</f>
        <v>Sim</v>
      </c>
    </row>
    <row r="284" customFormat="false" ht="15" hidden="false" customHeight="false" outlineLevel="0" collapsed="false">
      <c r="A284" s="14" t="s">
        <v>339</v>
      </c>
      <c r="B284" s="14" t="s">
        <v>39</v>
      </c>
      <c r="C284" s="14" t="s">
        <v>40</v>
      </c>
      <c r="D284" s="15" t="n">
        <v>146441</v>
      </c>
      <c r="E284" s="15" t="n">
        <v>75386</v>
      </c>
      <c r="F284" s="16" t="n">
        <f aca="false">1-E284/D284</f>
        <v>0.485212474648493</v>
      </c>
      <c r="G284" s="14" t="n">
        <v>84</v>
      </c>
      <c r="H284" s="14" t="n">
        <v>860</v>
      </c>
      <c r="I284" s="14" t="n">
        <v>1080</v>
      </c>
      <c r="J284" s="14" t="str">
        <f aca="false">IF(E284&lt;=100000,"Sim","Não")</f>
        <v>Sim</v>
      </c>
    </row>
    <row r="285" customFormat="false" ht="15" hidden="false" customHeight="false" outlineLevel="0" collapsed="false">
      <c r="A285" s="14" t="s">
        <v>340</v>
      </c>
      <c r="B285" s="14" t="s">
        <v>39</v>
      </c>
      <c r="C285" s="14" t="s">
        <v>40</v>
      </c>
      <c r="D285" s="15" t="n">
        <v>145807</v>
      </c>
      <c r="E285" s="15" t="n">
        <v>70194</v>
      </c>
      <c r="F285" s="16" t="n">
        <f aca="false">1-E285/D285</f>
        <v>0.518582784091299</v>
      </c>
      <c r="G285" s="14" t="n">
        <v>84</v>
      </c>
      <c r="H285" s="14" t="n">
        <v>864</v>
      </c>
      <c r="I285" s="14" t="n">
        <v>1080</v>
      </c>
      <c r="J285" s="14" t="str">
        <f aca="false">IF(E285&lt;=100000,"Sim","Não")</f>
        <v>Sim</v>
      </c>
    </row>
    <row r="286" customFormat="false" ht="15" hidden="false" customHeight="false" outlineLevel="0" collapsed="false">
      <c r="A286" s="14" t="s">
        <v>341</v>
      </c>
      <c r="B286" s="14" t="s">
        <v>39</v>
      </c>
      <c r="C286" s="14" t="s">
        <v>40</v>
      </c>
      <c r="D286" s="15" t="n">
        <v>111824</v>
      </c>
      <c r="E286" s="15" t="n">
        <v>74360</v>
      </c>
      <c r="F286" s="16" t="n">
        <f aca="false">1-E286/D286</f>
        <v>0.335026470167406</v>
      </c>
      <c r="G286" s="14" t="n">
        <v>84</v>
      </c>
      <c r="H286" s="14" t="n">
        <v>828</v>
      </c>
      <c r="I286" s="14" t="n">
        <v>981</v>
      </c>
      <c r="J286" s="14" t="str">
        <f aca="false">IF(E286&lt;=100000,"Sim","Não")</f>
        <v>Sim</v>
      </c>
    </row>
    <row r="287" customFormat="false" ht="15" hidden="false" customHeight="false" outlineLevel="0" collapsed="false">
      <c r="A287" s="14" t="s">
        <v>342</v>
      </c>
      <c r="B287" s="14" t="s">
        <v>39</v>
      </c>
      <c r="C287" s="14" t="s">
        <v>40</v>
      </c>
      <c r="D287" s="15" t="n">
        <v>128724</v>
      </c>
      <c r="E287" s="15" t="n">
        <v>54762</v>
      </c>
      <c r="F287" s="16" t="n">
        <f aca="false">1-E287/D287</f>
        <v>0.57457816724154</v>
      </c>
      <c r="G287" s="14" t="n">
        <v>84</v>
      </c>
      <c r="H287" s="14" t="n">
        <v>864</v>
      </c>
      <c r="I287" s="14" t="n">
        <v>1080</v>
      </c>
      <c r="J287" s="14" t="str">
        <f aca="false">IF(E287&lt;=100000,"Sim","Não")</f>
        <v>Sim</v>
      </c>
    </row>
    <row r="288" customFormat="false" ht="15" hidden="false" customHeight="false" outlineLevel="0" collapsed="false">
      <c r="A288" s="14" t="s">
        <v>343</v>
      </c>
      <c r="B288" s="14" t="s">
        <v>39</v>
      </c>
      <c r="C288" s="14" t="s">
        <v>40</v>
      </c>
      <c r="D288" s="15" t="n">
        <v>96908</v>
      </c>
      <c r="E288" s="15" t="n">
        <v>66354</v>
      </c>
      <c r="F288" s="16" t="n">
        <f aca="false">1-E288/D288</f>
        <v>0.315288727452842</v>
      </c>
      <c r="G288" s="14" t="n">
        <v>84</v>
      </c>
      <c r="H288" s="14" t="n">
        <v>736</v>
      </c>
      <c r="I288" s="14" t="n">
        <v>992</v>
      </c>
      <c r="J288" s="14" t="str">
        <f aca="false">IF(E288&lt;=100000,"Sim","Não")</f>
        <v>Sim</v>
      </c>
    </row>
    <row r="289" customFormat="false" ht="15" hidden="false" customHeight="false" outlineLevel="0" collapsed="false">
      <c r="A289" s="14" t="s">
        <v>344</v>
      </c>
      <c r="B289" s="14" t="s">
        <v>39</v>
      </c>
      <c r="C289" s="14" t="s">
        <v>40</v>
      </c>
      <c r="D289" s="15" t="n">
        <v>90301</v>
      </c>
      <c r="E289" s="15" t="n">
        <v>51784</v>
      </c>
      <c r="F289" s="16" t="n">
        <f aca="false">1-E289/D289</f>
        <v>0.426540126908894</v>
      </c>
      <c r="G289" s="14" t="n">
        <v>84</v>
      </c>
      <c r="H289" s="14" t="n">
        <v>720</v>
      </c>
      <c r="I289" s="14" t="n">
        <v>1080</v>
      </c>
      <c r="J289" s="14" t="str">
        <f aca="false">IF(E289&lt;=100000,"Sim","Não")</f>
        <v>Sim</v>
      </c>
    </row>
    <row r="290" customFormat="false" ht="15" hidden="false" customHeight="false" outlineLevel="0" collapsed="false">
      <c r="A290" s="14" t="s">
        <v>345</v>
      </c>
      <c r="B290" s="14" t="s">
        <v>39</v>
      </c>
      <c r="C290" s="14" t="s">
        <v>40</v>
      </c>
      <c r="D290" s="15" t="n">
        <v>132865</v>
      </c>
      <c r="E290" s="15" t="n">
        <v>75086</v>
      </c>
      <c r="F290" s="16" t="n">
        <f aca="false">1-E290/D290</f>
        <v>0.434869980807587</v>
      </c>
      <c r="G290" s="14" t="n">
        <v>84</v>
      </c>
      <c r="H290" s="14" t="n">
        <v>1080</v>
      </c>
      <c r="I290" s="14" t="n">
        <v>719</v>
      </c>
      <c r="J290" s="14" t="str">
        <f aca="false">IF(E290&lt;=100000,"Sim","Não")</f>
        <v>Sim</v>
      </c>
    </row>
    <row r="291" customFormat="false" ht="15" hidden="false" customHeight="false" outlineLevel="0" collapsed="false">
      <c r="A291" s="14" t="s">
        <v>346</v>
      </c>
      <c r="B291" s="14" t="s">
        <v>39</v>
      </c>
      <c r="C291" s="14" t="s">
        <v>40</v>
      </c>
      <c r="D291" s="15" t="n">
        <v>99536</v>
      </c>
      <c r="E291" s="15" t="n">
        <v>42106</v>
      </c>
      <c r="F291" s="16" t="n">
        <f aca="false">1-E291/D291</f>
        <v>0.576977174087767</v>
      </c>
      <c r="G291" s="14" t="n">
        <v>84</v>
      </c>
      <c r="H291" s="14" t="n">
        <v>587</v>
      </c>
      <c r="I291" s="14" t="n">
        <v>1080</v>
      </c>
      <c r="J291" s="14" t="str">
        <f aca="false">IF(E291&lt;=100000,"Sim","Não")</f>
        <v>Sim</v>
      </c>
    </row>
    <row r="292" customFormat="false" ht="15" hidden="false" customHeight="false" outlineLevel="0" collapsed="false">
      <c r="A292" s="14" t="s">
        <v>347</v>
      </c>
      <c r="B292" s="14" t="s">
        <v>39</v>
      </c>
      <c r="C292" s="14" t="s">
        <v>40</v>
      </c>
      <c r="D292" s="15" t="n">
        <v>71940</v>
      </c>
      <c r="E292" s="15" t="n">
        <v>34000</v>
      </c>
      <c r="F292" s="16" t="n">
        <f aca="false">1-E292/D292</f>
        <v>0.527383931053656</v>
      </c>
      <c r="G292" s="14" t="n">
        <v>84</v>
      </c>
      <c r="H292" s="14" t="n">
        <v>720</v>
      </c>
      <c r="I292" s="14" t="n">
        <v>1080</v>
      </c>
      <c r="J292" s="14" t="str">
        <f aca="false">IF(E292&lt;=100000,"Sim","Não")</f>
        <v>Sim</v>
      </c>
    </row>
    <row r="293" customFormat="false" ht="15" hidden="false" customHeight="false" outlineLevel="0" collapsed="false">
      <c r="A293" s="14" t="s">
        <v>348</v>
      </c>
      <c r="B293" s="14" t="s">
        <v>39</v>
      </c>
      <c r="C293" s="14" t="s">
        <v>40</v>
      </c>
      <c r="D293" s="15" t="n">
        <v>64317</v>
      </c>
      <c r="E293" s="15" t="n">
        <v>41916</v>
      </c>
      <c r="F293" s="16" t="n">
        <f aca="false">1-E293/D293</f>
        <v>0.348290498624003</v>
      </c>
      <c r="G293" s="14" t="n">
        <v>84</v>
      </c>
      <c r="H293" s="14" t="n">
        <v>736</v>
      </c>
      <c r="I293" s="14" t="n">
        <v>1019</v>
      </c>
      <c r="J293" s="14" t="str">
        <f aca="false">IF(E293&lt;=100000,"Sim","Não")</f>
        <v>Sim</v>
      </c>
    </row>
    <row r="294" customFormat="false" ht="15" hidden="false" customHeight="false" outlineLevel="0" collapsed="false">
      <c r="A294" s="14" t="s">
        <v>349</v>
      </c>
      <c r="B294" s="14" t="s">
        <v>39</v>
      </c>
      <c r="C294" s="14" t="s">
        <v>40</v>
      </c>
      <c r="D294" s="15" t="n">
        <v>111405</v>
      </c>
      <c r="E294" s="15" t="n">
        <v>93582</v>
      </c>
      <c r="F294" s="16" t="n">
        <f aca="false">1-E294/D294</f>
        <v>0.159983842735963</v>
      </c>
      <c r="G294" s="14" t="n">
        <v>84</v>
      </c>
      <c r="H294" s="14" t="n">
        <v>736</v>
      </c>
      <c r="I294" s="14" t="n">
        <v>981</v>
      </c>
      <c r="J294" s="14" t="str">
        <f aca="false">IF(E294&lt;=100000,"Sim","Não")</f>
        <v>Sim</v>
      </c>
    </row>
    <row r="295" customFormat="false" ht="15" hidden="false" customHeight="false" outlineLevel="0" collapsed="false">
      <c r="A295" s="14" t="s">
        <v>350</v>
      </c>
      <c r="B295" s="14" t="s">
        <v>39</v>
      </c>
      <c r="C295" s="14" t="s">
        <v>40</v>
      </c>
      <c r="D295" s="15" t="n">
        <v>75306</v>
      </c>
      <c r="E295" s="15" t="n">
        <v>51650</v>
      </c>
      <c r="F295" s="16" t="n">
        <f aca="false">1-E295/D295</f>
        <v>0.314131676094866</v>
      </c>
      <c r="G295" s="14" t="n">
        <v>84</v>
      </c>
      <c r="H295" s="14" t="n">
        <v>720</v>
      </c>
      <c r="I295" s="14" t="n">
        <v>1080</v>
      </c>
      <c r="J295" s="14" t="str">
        <f aca="false">IF(E295&lt;=100000,"Sim","Não")</f>
        <v>Sim</v>
      </c>
    </row>
    <row r="296" customFormat="false" ht="15" hidden="false" customHeight="false" outlineLevel="0" collapsed="false">
      <c r="A296" s="14" t="s">
        <v>351</v>
      </c>
      <c r="B296" s="14" t="s">
        <v>39</v>
      </c>
      <c r="C296" s="14" t="s">
        <v>40</v>
      </c>
      <c r="D296" s="15" t="n">
        <v>68312</v>
      </c>
      <c r="E296" s="15" t="n">
        <v>41726</v>
      </c>
      <c r="F296" s="16" t="n">
        <f aca="false">1-E296/D296</f>
        <v>0.389184916266542</v>
      </c>
      <c r="G296" s="14" t="n">
        <v>84</v>
      </c>
      <c r="H296" s="14" t="n">
        <v>735</v>
      </c>
      <c r="I296" s="14" t="n">
        <v>914</v>
      </c>
      <c r="J296" s="14" t="str">
        <f aca="false">IF(E296&lt;=100000,"Sim","Não")</f>
        <v>Sim</v>
      </c>
    </row>
    <row r="297" customFormat="false" ht="15" hidden="false" customHeight="false" outlineLevel="0" collapsed="false">
      <c r="A297" s="14" t="s">
        <v>352</v>
      </c>
      <c r="B297" s="14" t="s">
        <v>39</v>
      </c>
      <c r="C297" s="14" t="s">
        <v>40</v>
      </c>
      <c r="D297" s="15" t="n">
        <v>67499</v>
      </c>
      <c r="E297" s="15" t="n">
        <v>32820</v>
      </c>
      <c r="F297" s="16" t="n">
        <f aca="false">1-E297/D297</f>
        <v>0.51377057437888</v>
      </c>
      <c r="G297" s="14" t="n">
        <v>84</v>
      </c>
      <c r="H297" s="14" t="n">
        <v>750</v>
      </c>
      <c r="I297" s="14" t="n">
        <v>883</v>
      </c>
      <c r="J297" s="14" t="str">
        <f aca="false">IF(E297&lt;=100000,"Sim","Não")</f>
        <v>Sim</v>
      </c>
    </row>
    <row r="298" customFormat="false" ht="15" hidden="false" customHeight="false" outlineLevel="0" collapsed="false">
      <c r="A298" s="14" t="s">
        <v>353</v>
      </c>
      <c r="B298" s="14" t="s">
        <v>39</v>
      </c>
      <c r="C298" s="14" t="s">
        <v>40</v>
      </c>
      <c r="D298" s="15" t="n">
        <v>56457</v>
      </c>
      <c r="E298" s="15" t="n">
        <v>38428</v>
      </c>
      <c r="F298" s="16" t="n">
        <f aca="false">1-E298/D298</f>
        <v>0.319340382946313</v>
      </c>
      <c r="G298" s="14" t="n">
        <v>84</v>
      </c>
      <c r="H298" s="14" t="n">
        <v>735</v>
      </c>
      <c r="I298" s="14" t="n">
        <v>490</v>
      </c>
      <c r="J298" s="14" t="str">
        <f aca="false">IF(E298&lt;=100000,"Sim","Não")</f>
        <v>Sim</v>
      </c>
    </row>
    <row r="299" customFormat="false" ht="15" hidden="false" customHeight="false" outlineLevel="0" collapsed="false">
      <c r="A299" s="14" t="s">
        <v>354</v>
      </c>
      <c r="B299" s="14" t="s">
        <v>41</v>
      </c>
      <c r="C299" s="14" t="s">
        <v>42</v>
      </c>
      <c r="D299" s="15" t="n">
        <v>180481</v>
      </c>
      <c r="E299" s="15" t="n">
        <v>86868</v>
      </c>
      <c r="F299" s="16" t="n">
        <f aca="false">1-E299/D299</f>
        <v>0.518686177492368</v>
      </c>
      <c r="G299" s="14" t="n">
        <v>84</v>
      </c>
      <c r="H299" s="14" t="n">
        <v>1080</v>
      </c>
      <c r="I299" s="14" t="n">
        <v>740</v>
      </c>
      <c r="J299" s="14" t="str">
        <f aca="false">IF(E299&lt;=100000,"Sim","Não")</f>
        <v>Sim</v>
      </c>
    </row>
    <row r="300" customFormat="false" ht="15" hidden="false" customHeight="false" outlineLevel="0" collapsed="false">
      <c r="A300" s="14" t="s">
        <v>355</v>
      </c>
      <c r="B300" s="14" t="s">
        <v>41</v>
      </c>
      <c r="C300" s="14" t="s">
        <v>42</v>
      </c>
      <c r="D300" s="15" t="n">
        <v>142901</v>
      </c>
      <c r="E300" s="15" t="n">
        <v>50454</v>
      </c>
      <c r="F300" s="16" t="n">
        <f aca="false">1-E300/D300</f>
        <v>0.646930392369543</v>
      </c>
      <c r="G300" s="14" t="n">
        <v>84</v>
      </c>
      <c r="H300" s="14" t="n">
        <v>952</v>
      </c>
      <c r="I300" s="14" t="n">
        <v>1080</v>
      </c>
      <c r="J300" s="14" t="str">
        <f aca="false">IF(E300&lt;=100000,"Sim","Não")</f>
        <v>Sim</v>
      </c>
    </row>
    <row r="301" customFormat="false" ht="15" hidden="false" customHeight="false" outlineLevel="0" collapsed="false">
      <c r="A301" s="14" t="s">
        <v>356</v>
      </c>
      <c r="B301" s="14" t="s">
        <v>41</v>
      </c>
      <c r="C301" s="14" t="s">
        <v>42</v>
      </c>
      <c r="D301" s="15" t="n">
        <v>126830</v>
      </c>
      <c r="E301" s="15" t="n">
        <v>55542</v>
      </c>
      <c r="F301" s="16" t="n">
        <f aca="false">1-E301/D301</f>
        <v>0.562075218796815</v>
      </c>
      <c r="G301" s="14" t="n">
        <v>84</v>
      </c>
      <c r="H301" s="14" t="n">
        <v>1080</v>
      </c>
      <c r="I301" s="14" t="n">
        <v>608</v>
      </c>
      <c r="J301" s="14" t="str">
        <f aca="false">IF(E301&lt;=100000,"Sim","Não")</f>
        <v>Sim</v>
      </c>
    </row>
    <row r="302" customFormat="false" ht="15" hidden="false" customHeight="false" outlineLevel="0" collapsed="false">
      <c r="A302" s="14" t="s">
        <v>357</v>
      </c>
      <c r="B302" s="14" t="s">
        <v>41</v>
      </c>
      <c r="C302" s="14" t="s">
        <v>42</v>
      </c>
      <c r="D302" s="15" t="n">
        <v>119943</v>
      </c>
      <c r="E302" s="15" t="n">
        <v>46972</v>
      </c>
      <c r="F302" s="16" t="n">
        <f aca="false">1-E302/D302</f>
        <v>0.608380647474217</v>
      </c>
      <c r="G302" s="14" t="n">
        <v>84</v>
      </c>
      <c r="H302" s="14" t="n">
        <v>1080</v>
      </c>
      <c r="I302" s="14" t="n">
        <v>720</v>
      </c>
      <c r="J302" s="14" t="str">
        <f aca="false">IF(E302&lt;=100000,"Sim","Não")</f>
        <v>Sim</v>
      </c>
    </row>
    <row r="303" customFormat="false" ht="15" hidden="false" customHeight="false" outlineLevel="0" collapsed="false">
      <c r="A303" s="14" t="s">
        <v>358</v>
      </c>
      <c r="B303" s="14" t="s">
        <v>41</v>
      </c>
      <c r="C303" s="14" t="s">
        <v>42</v>
      </c>
      <c r="D303" s="15" t="n">
        <v>106551</v>
      </c>
      <c r="E303" s="15" t="n">
        <v>41834</v>
      </c>
      <c r="F303" s="16" t="n">
        <f aca="false">1-E303/D303</f>
        <v>0.607380503233194</v>
      </c>
      <c r="G303" s="14" t="n">
        <v>84</v>
      </c>
      <c r="H303" s="14" t="n">
        <v>1080</v>
      </c>
      <c r="I303" s="14" t="n">
        <v>720</v>
      </c>
      <c r="J303" s="14" t="str">
        <f aca="false">IF(E303&lt;=100000,"Sim","Não")</f>
        <v>Sim</v>
      </c>
    </row>
    <row r="304" customFormat="false" ht="15" hidden="false" customHeight="false" outlineLevel="0" collapsed="false">
      <c r="A304" s="14" t="s">
        <v>359</v>
      </c>
      <c r="B304" s="14" t="s">
        <v>41</v>
      </c>
      <c r="C304" s="14" t="s">
        <v>42</v>
      </c>
      <c r="D304" s="15" t="n">
        <v>182192</v>
      </c>
      <c r="E304" s="15" t="n">
        <v>79426</v>
      </c>
      <c r="F304" s="16" t="n">
        <f aca="false">1-E304/D304</f>
        <v>0.564053306402037</v>
      </c>
      <c r="G304" s="14" t="n">
        <v>84</v>
      </c>
      <c r="H304" s="14" t="n">
        <v>1080</v>
      </c>
      <c r="I304" s="14" t="n">
        <v>720</v>
      </c>
      <c r="J304" s="14" t="str">
        <f aca="false">IF(E304&lt;=100000,"Sim","Não")</f>
        <v>Sim</v>
      </c>
    </row>
    <row r="305" customFormat="false" ht="15" hidden="false" customHeight="false" outlineLevel="0" collapsed="false">
      <c r="A305" s="14" t="s">
        <v>360</v>
      </c>
      <c r="B305" s="14" t="s">
        <v>41</v>
      </c>
      <c r="C305" s="14" t="s">
        <v>42</v>
      </c>
      <c r="D305" s="15" t="n">
        <v>168293</v>
      </c>
      <c r="E305" s="15" t="n">
        <v>89220</v>
      </c>
      <c r="F305" s="16" t="n">
        <f aca="false">1-E305/D305</f>
        <v>0.469853172740399</v>
      </c>
      <c r="G305" s="14" t="n">
        <v>84</v>
      </c>
      <c r="H305" s="14" t="n">
        <v>720</v>
      </c>
      <c r="I305" s="14" t="n">
        <v>1080</v>
      </c>
      <c r="J305" s="14" t="str">
        <f aca="false">IF(E305&lt;=100000,"Sim","Não")</f>
        <v>Sim</v>
      </c>
    </row>
    <row r="306" customFormat="false" ht="15" hidden="false" customHeight="false" outlineLevel="0" collapsed="false">
      <c r="A306" s="14" t="s">
        <v>361</v>
      </c>
      <c r="B306" s="14" t="s">
        <v>41</v>
      </c>
      <c r="C306" s="14" t="s">
        <v>42</v>
      </c>
      <c r="D306" s="15" t="n">
        <v>169912</v>
      </c>
      <c r="E306" s="15" t="n">
        <v>80736</v>
      </c>
      <c r="F306" s="16" t="n">
        <f aca="false">1-E306/D306</f>
        <v>0.524836385893875</v>
      </c>
      <c r="G306" s="14" t="n">
        <v>84</v>
      </c>
      <c r="H306" s="14" t="n">
        <v>1080</v>
      </c>
      <c r="I306" s="14" t="n">
        <v>810</v>
      </c>
      <c r="J306" s="14" t="str">
        <f aca="false">IF(E306&lt;=100000,"Sim","Não")</f>
        <v>Sim</v>
      </c>
    </row>
    <row r="307" customFormat="false" ht="15" hidden="false" customHeight="false" outlineLevel="0" collapsed="false">
      <c r="A307" s="14" t="s">
        <v>362</v>
      </c>
      <c r="B307" s="14" t="s">
        <v>41</v>
      </c>
      <c r="C307" s="14" t="s">
        <v>42</v>
      </c>
      <c r="D307" s="15" t="n">
        <v>110585</v>
      </c>
      <c r="E307" s="15" t="n">
        <v>42250</v>
      </c>
      <c r="F307" s="16" t="n">
        <f aca="false">1-E307/D307</f>
        <v>0.617940950400145</v>
      </c>
      <c r="G307" s="14" t="n">
        <v>84</v>
      </c>
      <c r="H307" s="14" t="n">
        <v>1080</v>
      </c>
      <c r="I307" s="14" t="n">
        <v>721</v>
      </c>
      <c r="J307" s="14" t="str">
        <f aca="false">IF(E307&lt;=100000,"Sim","Não")</f>
        <v>Sim</v>
      </c>
    </row>
    <row r="308" customFormat="false" ht="15" hidden="false" customHeight="false" outlineLevel="0" collapsed="false">
      <c r="A308" s="14" t="s">
        <v>363</v>
      </c>
      <c r="B308" s="14" t="s">
        <v>41</v>
      </c>
      <c r="C308" s="14" t="s">
        <v>42</v>
      </c>
      <c r="D308" s="15" t="n">
        <v>73444</v>
      </c>
      <c r="E308" s="15" t="n">
        <v>28078</v>
      </c>
      <c r="F308" s="16" t="n">
        <f aca="false">1-E308/D308</f>
        <v>0.617695114645172</v>
      </c>
      <c r="G308" s="14" t="n">
        <v>84</v>
      </c>
      <c r="H308" s="14" t="n">
        <v>1080</v>
      </c>
      <c r="I308" s="14" t="n">
        <v>720</v>
      </c>
      <c r="J308" s="14" t="str">
        <f aca="false">IF(E308&lt;=100000,"Sim","Não")</f>
        <v>Sim</v>
      </c>
    </row>
    <row r="309" customFormat="false" ht="15" hidden="false" customHeight="false" outlineLevel="0" collapsed="false">
      <c r="A309" s="14" t="s">
        <v>364</v>
      </c>
      <c r="B309" s="14" t="s">
        <v>41</v>
      </c>
      <c r="C309" s="14" t="s">
        <v>42</v>
      </c>
      <c r="D309" s="15" t="n">
        <v>151043</v>
      </c>
      <c r="E309" s="15" t="n">
        <v>63796</v>
      </c>
      <c r="F309" s="16" t="n">
        <f aca="false">1-E309/D309</f>
        <v>0.577630211264342</v>
      </c>
      <c r="G309" s="14" t="n">
        <v>84</v>
      </c>
      <c r="H309" s="14" t="n">
        <v>1080</v>
      </c>
      <c r="I309" s="14" t="n">
        <v>1080</v>
      </c>
      <c r="J309" s="14" t="str">
        <f aca="false">IF(E309&lt;=100000,"Sim","Não")</f>
        <v>Sim</v>
      </c>
    </row>
    <row r="310" customFormat="false" ht="15" hidden="false" customHeight="false" outlineLevel="0" collapsed="false">
      <c r="A310" s="14" t="s">
        <v>365</v>
      </c>
      <c r="B310" s="14" t="s">
        <v>41</v>
      </c>
      <c r="C310" s="14" t="s">
        <v>42</v>
      </c>
      <c r="D310" s="15" t="n">
        <v>159781</v>
      </c>
      <c r="E310" s="15" t="n">
        <v>76830</v>
      </c>
      <c r="F310" s="16" t="n">
        <f aca="false">1-E310/D310</f>
        <v>0.519154342506305</v>
      </c>
      <c r="G310" s="14" t="n">
        <v>84</v>
      </c>
      <c r="H310" s="14" t="n">
        <v>720</v>
      </c>
      <c r="I310" s="14" t="n">
        <v>1080</v>
      </c>
      <c r="J310" s="14" t="str">
        <f aca="false">IF(E310&lt;=100000,"Sim","Não")</f>
        <v>Sim</v>
      </c>
    </row>
    <row r="311" customFormat="false" ht="15" hidden="false" customHeight="false" outlineLevel="0" collapsed="false">
      <c r="A311" s="14" t="s">
        <v>366</v>
      </c>
      <c r="B311" s="14" t="s">
        <v>41</v>
      </c>
      <c r="C311" s="14" t="s">
        <v>42</v>
      </c>
      <c r="D311" s="15" t="n">
        <v>101713</v>
      </c>
      <c r="E311" s="15" t="n">
        <v>74452</v>
      </c>
      <c r="F311" s="16" t="n">
        <f aca="false">1-E311/D311</f>
        <v>0.268018837316764</v>
      </c>
      <c r="G311" s="14" t="n">
        <v>84</v>
      </c>
      <c r="H311" s="14" t="n">
        <v>735</v>
      </c>
      <c r="I311" s="14" t="n">
        <v>913</v>
      </c>
      <c r="J311" s="14" t="str">
        <f aca="false">IF(E311&lt;=100000,"Sim","Não")</f>
        <v>Sim</v>
      </c>
    </row>
    <row r="312" customFormat="false" ht="15" hidden="false" customHeight="false" outlineLevel="0" collapsed="false">
      <c r="A312" s="14" t="s">
        <v>367</v>
      </c>
      <c r="B312" s="14" t="s">
        <v>41</v>
      </c>
      <c r="C312" s="14" t="s">
        <v>42</v>
      </c>
      <c r="D312" s="15" t="n">
        <v>81091</v>
      </c>
      <c r="E312" s="15" t="n">
        <v>76882</v>
      </c>
      <c r="F312" s="16" t="n">
        <f aca="false">1-E312/D312</f>
        <v>0.0519046503311095</v>
      </c>
      <c r="G312" s="14" t="n">
        <v>84</v>
      </c>
      <c r="H312" s="14" t="n">
        <v>600</v>
      </c>
      <c r="I312" s="14" t="n">
        <v>750</v>
      </c>
      <c r="J312" s="14" t="str">
        <f aca="false">IF(E312&lt;=100000,"Sim","Não")</f>
        <v>Sim</v>
      </c>
    </row>
    <row r="313" customFormat="false" ht="15" hidden="false" customHeight="false" outlineLevel="0" collapsed="false">
      <c r="A313" s="14" t="s">
        <v>368</v>
      </c>
      <c r="B313" s="14" t="s">
        <v>41</v>
      </c>
      <c r="C313" s="14" t="s">
        <v>42</v>
      </c>
      <c r="D313" s="15" t="n">
        <v>212913</v>
      </c>
      <c r="E313" s="15" t="n">
        <v>95904</v>
      </c>
      <c r="F313" s="16" t="n">
        <f aca="false">1-E313/D313</f>
        <v>0.549562497358076</v>
      </c>
      <c r="G313" s="14" t="n">
        <v>80</v>
      </c>
      <c r="H313" s="14" t="n">
        <v>904</v>
      </c>
      <c r="I313" s="14" t="n">
        <v>1080</v>
      </c>
      <c r="J313" s="14" t="str">
        <f aca="false">IF(E313&lt;=100000,"Sim","Não")</f>
        <v>Sim</v>
      </c>
    </row>
    <row r="314" customFormat="false" ht="15" hidden="false" customHeight="false" outlineLevel="0" collapsed="false">
      <c r="A314" s="14" t="s">
        <v>369</v>
      </c>
      <c r="B314" s="14" t="s">
        <v>41</v>
      </c>
      <c r="C314" s="14" t="s">
        <v>42</v>
      </c>
      <c r="D314" s="15" t="n">
        <v>299348</v>
      </c>
      <c r="E314" s="15" t="n">
        <v>92904</v>
      </c>
      <c r="F314" s="16" t="n">
        <f aca="false">1-E314/D314</f>
        <v>0.689645496211767</v>
      </c>
      <c r="G314" s="14" t="n">
        <v>68</v>
      </c>
      <c r="H314" s="14" t="n">
        <v>736</v>
      </c>
      <c r="I314" s="14" t="n">
        <v>920</v>
      </c>
      <c r="J314" s="14" t="str">
        <f aca="false">IF(E314&lt;=100000,"Sim","Não")</f>
        <v>Sim</v>
      </c>
    </row>
    <row r="315" customFormat="false" ht="15" hidden="false" customHeight="false" outlineLevel="0" collapsed="false">
      <c r="A315" s="14" t="s">
        <v>370</v>
      </c>
      <c r="B315" s="14" t="s">
        <v>41</v>
      </c>
      <c r="C315" s="14" t="s">
        <v>42</v>
      </c>
      <c r="D315" s="15" t="n">
        <v>228087</v>
      </c>
      <c r="E315" s="15" t="n">
        <v>96286</v>
      </c>
      <c r="F315" s="16" t="n">
        <f aca="false">1-E315/D315</f>
        <v>0.57785406445786</v>
      </c>
      <c r="G315" s="14" t="n">
        <v>72</v>
      </c>
      <c r="H315" s="14" t="n">
        <v>972</v>
      </c>
      <c r="I315" s="14" t="n">
        <v>1080</v>
      </c>
      <c r="J315" s="14" t="str">
        <f aca="false">IF(E315&lt;=100000,"Sim","Não")</f>
        <v>Sim</v>
      </c>
    </row>
    <row r="316" customFormat="false" ht="15" hidden="false" customHeight="false" outlineLevel="0" collapsed="false">
      <c r="A316" s="14" t="s">
        <v>371</v>
      </c>
      <c r="B316" s="14" t="s">
        <v>41</v>
      </c>
      <c r="C316" s="14" t="s">
        <v>42</v>
      </c>
      <c r="D316" s="15" t="n">
        <v>143841</v>
      </c>
      <c r="E316" s="15" t="n">
        <v>82718</v>
      </c>
      <c r="F316" s="16" t="n">
        <f aca="false">1-E316/D316</f>
        <v>0.424934476261984</v>
      </c>
      <c r="G316" s="14" t="n">
        <v>84</v>
      </c>
      <c r="H316" s="14" t="n">
        <v>607</v>
      </c>
      <c r="I316" s="14" t="n">
        <v>1080</v>
      </c>
      <c r="J316" s="14" t="str">
        <f aca="false">IF(E316&lt;=100000,"Sim","Não")</f>
        <v>Sim</v>
      </c>
    </row>
    <row r="317" customFormat="false" ht="15" hidden="false" customHeight="false" outlineLevel="0" collapsed="false">
      <c r="A317" s="14" t="s">
        <v>372</v>
      </c>
      <c r="B317" s="14" t="s">
        <v>41</v>
      </c>
      <c r="C317" s="14" t="s">
        <v>42</v>
      </c>
      <c r="D317" s="15" t="n">
        <v>107379</v>
      </c>
      <c r="E317" s="15" t="n">
        <v>78274</v>
      </c>
      <c r="F317" s="16" t="n">
        <f aca="false">1-E317/D317</f>
        <v>0.271049274066624</v>
      </c>
      <c r="G317" s="14" t="n">
        <v>84</v>
      </c>
      <c r="H317" s="14" t="n">
        <v>720</v>
      </c>
      <c r="I317" s="14" t="n">
        <v>1080</v>
      </c>
      <c r="J317" s="14" t="str">
        <f aca="false">IF(E317&lt;=100000,"Sim","Não")</f>
        <v>Sim</v>
      </c>
    </row>
    <row r="318" customFormat="false" ht="15" hidden="false" customHeight="false" outlineLevel="0" collapsed="false">
      <c r="A318" s="14" t="s">
        <v>373</v>
      </c>
      <c r="B318" s="14" t="s">
        <v>41</v>
      </c>
      <c r="C318" s="14" t="s">
        <v>42</v>
      </c>
      <c r="D318" s="15" t="n">
        <v>80508</v>
      </c>
      <c r="E318" s="15" t="n">
        <v>51244</v>
      </c>
      <c r="F318" s="16" t="n">
        <f aca="false">1-E318/D318</f>
        <v>0.36349182689919</v>
      </c>
      <c r="G318" s="14" t="n">
        <v>84</v>
      </c>
      <c r="H318" s="14" t="n">
        <v>736</v>
      </c>
      <c r="I318" s="14" t="n">
        <v>727</v>
      </c>
      <c r="J318" s="14" t="str">
        <f aca="false">IF(E318&lt;=100000,"Sim","Não")</f>
        <v>Sim</v>
      </c>
    </row>
    <row r="319" customFormat="false" ht="15" hidden="false" customHeight="false" outlineLevel="0" collapsed="false">
      <c r="A319" s="14" t="s">
        <v>374</v>
      </c>
      <c r="B319" s="14" t="s">
        <v>41</v>
      </c>
      <c r="C319" s="14" t="s">
        <v>42</v>
      </c>
      <c r="D319" s="15" t="n">
        <v>128740</v>
      </c>
      <c r="E319" s="15" t="n">
        <v>67404</v>
      </c>
      <c r="F319" s="16" t="n">
        <f aca="false">1-E319/D319</f>
        <v>0.476433121019108</v>
      </c>
      <c r="G319" s="14" t="n">
        <v>84</v>
      </c>
      <c r="H319" s="14" t="n">
        <v>1080</v>
      </c>
      <c r="I319" s="14" t="n">
        <v>979</v>
      </c>
      <c r="J319" s="14" t="str">
        <f aca="false">IF(E319&lt;=100000,"Sim","Não")</f>
        <v>Sim</v>
      </c>
    </row>
    <row r="320" customFormat="false" ht="15" hidden="false" customHeight="false" outlineLevel="0" collapsed="false">
      <c r="A320" s="14" t="s">
        <v>375</v>
      </c>
      <c r="B320" s="14" t="s">
        <v>41</v>
      </c>
      <c r="C320" s="14" t="s">
        <v>42</v>
      </c>
      <c r="D320" s="15" t="n">
        <v>182839</v>
      </c>
      <c r="E320" s="15" t="n">
        <v>86012</v>
      </c>
      <c r="F320" s="16" t="n">
        <f aca="false">1-E320/D320</f>
        <v>0.529575200039379</v>
      </c>
      <c r="G320" s="14" t="n">
        <v>80</v>
      </c>
      <c r="H320" s="14" t="n">
        <v>864</v>
      </c>
      <c r="I320" s="14" t="n">
        <v>1080</v>
      </c>
      <c r="J320" s="14" t="str">
        <f aca="false">IF(E320&lt;=100000,"Sim","Não")</f>
        <v>Sim</v>
      </c>
    </row>
    <row r="321" customFormat="false" ht="15" hidden="false" customHeight="false" outlineLevel="0" collapsed="false">
      <c r="A321" s="14" t="s">
        <v>376</v>
      </c>
      <c r="B321" s="14" t="s">
        <v>41</v>
      </c>
      <c r="C321" s="14" t="s">
        <v>42</v>
      </c>
      <c r="D321" s="15" t="n">
        <v>143993</v>
      </c>
      <c r="E321" s="15" t="n">
        <v>63278</v>
      </c>
      <c r="F321" s="16" t="n">
        <f aca="false">1-E321/D321</f>
        <v>0.56054808219844</v>
      </c>
      <c r="G321" s="14" t="n">
        <v>84</v>
      </c>
      <c r="H321" s="14" t="n">
        <v>866</v>
      </c>
      <c r="I321" s="14" t="n">
        <v>1080</v>
      </c>
      <c r="J321" s="14" t="str">
        <f aca="false">IF(E321&lt;=100000,"Sim","Não")</f>
        <v>Sim</v>
      </c>
    </row>
    <row r="322" customFormat="false" ht="15" hidden="false" customHeight="false" outlineLevel="0" collapsed="false">
      <c r="A322" s="14" t="s">
        <v>377</v>
      </c>
      <c r="B322" s="14" t="s">
        <v>41</v>
      </c>
      <c r="C322" s="14" t="s">
        <v>42</v>
      </c>
      <c r="D322" s="15" t="n">
        <v>75396</v>
      </c>
      <c r="E322" s="15" t="n">
        <v>45142</v>
      </c>
      <c r="F322" s="16" t="n">
        <f aca="false">1-E322/D322</f>
        <v>0.401267971775691</v>
      </c>
      <c r="G322" s="14" t="n">
        <v>84</v>
      </c>
      <c r="H322" s="14" t="n">
        <v>736</v>
      </c>
      <c r="I322" s="14" t="n">
        <v>899</v>
      </c>
      <c r="J322" s="14" t="str">
        <f aca="false">IF(E322&lt;=100000,"Sim","Não")</f>
        <v>Sim</v>
      </c>
    </row>
    <row r="323" customFormat="false" ht="15" hidden="false" customHeight="false" outlineLevel="0" collapsed="false">
      <c r="A323" s="14" t="s">
        <v>378</v>
      </c>
      <c r="B323" s="14" t="s">
        <v>41</v>
      </c>
      <c r="C323" s="14" t="s">
        <v>42</v>
      </c>
      <c r="D323" s="15" t="n">
        <v>108285</v>
      </c>
      <c r="E323" s="15" t="n">
        <v>82874</v>
      </c>
      <c r="F323" s="16" t="n">
        <f aca="false">1-E323/D323</f>
        <v>0.234667774853396</v>
      </c>
      <c r="G323" s="14" t="n">
        <v>84</v>
      </c>
      <c r="H323" s="14" t="n">
        <v>735</v>
      </c>
      <c r="I323" s="14" t="n">
        <v>1080</v>
      </c>
      <c r="J323" s="14" t="str">
        <f aca="false">IF(E323&lt;=100000,"Sim","Não")</f>
        <v>Sim</v>
      </c>
    </row>
    <row r="324" customFormat="false" ht="15" hidden="false" customHeight="false" outlineLevel="0" collapsed="false">
      <c r="A324" s="14" t="s">
        <v>379</v>
      </c>
      <c r="B324" s="14" t="s">
        <v>43</v>
      </c>
      <c r="C324" s="14" t="s">
        <v>44</v>
      </c>
      <c r="D324" s="15" t="n">
        <v>149507</v>
      </c>
      <c r="E324" s="15" t="n">
        <v>75150</v>
      </c>
      <c r="F324" s="16" t="n">
        <f aca="false">1-E324/D324</f>
        <v>0.497347950263198</v>
      </c>
      <c r="G324" s="14" t="n">
        <v>84</v>
      </c>
      <c r="H324" s="14" t="n">
        <v>721</v>
      </c>
      <c r="I324" s="14" t="n">
        <v>1080</v>
      </c>
      <c r="J324" s="14" t="str">
        <f aca="false">IF(E324&lt;=100000,"Sim","Não")</f>
        <v>Sim</v>
      </c>
    </row>
    <row r="325" customFormat="false" ht="15" hidden="false" customHeight="false" outlineLevel="0" collapsed="false">
      <c r="A325" s="14" t="s">
        <v>380</v>
      </c>
      <c r="B325" s="14" t="s">
        <v>43</v>
      </c>
      <c r="C325" s="14" t="s">
        <v>44</v>
      </c>
      <c r="D325" s="15" t="n">
        <v>215358</v>
      </c>
      <c r="E325" s="15" t="n">
        <v>92204</v>
      </c>
      <c r="F325" s="16" t="n">
        <f aca="false">1-E325/D325</f>
        <v>0.571857093769444</v>
      </c>
      <c r="G325" s="14" t="n">
        <v>80</v>
      </c>
      <c r="H325" s="14" t="n">
        <v>810</v>
      </c>
      <c r="I325" s="14" t="n">
        <v>1080</v>
      </c>
      <c r="J325" s="14" t="str">
        <f aca="false">IF(E325&lt;=100000,"Sim","Não")</f>
        <v>Sim</v>
      </c>
    </row>
    <row r="326" customFormat="false" ht="15" hidden="false" customHeight="false" outlineLevel="0" collapsed="false">
      <c r="A326" s="14" t="s">
        <v>381</v>
      </c>
      <c r="B326" s="14" t="s">
        <v>43</v>
      </c>
      <c r="C326" s="14" t="s">
        <v>44</v>
      </c>
      <c r="D326" s="15" t="n">
        <v>305958</v>
      </c>
      <c r="E326" s="15" t="n">
        <v>94288</v>
      </c>
      <c r="F326" s="16" t="n">
        <f aca="false">1-E326/D326</f>
        <v>0.691826982788487</v>
      </c>
      <c r="G326" s="14" t="n">
        <v>72</v>
      </c>
      <c r="H326" s="14" t="n">
        <v>750</v>
      </c>
      <c r="I326" s="14" t="n">
        <v>1000</v>
      </c>
      <c r="J326" s="14" t="str">
        <f aca="false">IF(E326&lt;=100000,"Sim","Não")</f>
        <v>Sim</v>
      </c>
    </row>
    <row r="327" customFormat="false" ht="15" hidden="false" customHeight="false" outlineLevel="0" collapsed="false">
      <c r="A327" s="14" t="s">
        <v>382</v>
      </c>
      <c r="B327" s="14" t="s">
        <v>43</v>
      </c>
      <c r="C327" s="14" t="s">
        <v>44</v>
      </c>
      <c r="D327" s="15" t="n">
        <v>166223</v>
      </c>
      <c r="E327" s="15" t="n">
        <v>73868</v>
      </c>
      <c r="F327" s="16" t="n">
        <f aca="false">1-E327/D327</f>
        <v>0.555609031241164</v>
      </c>
      <c r="G327" s="14" t="n">
        <v>84</v>
      </c>
      <c r="H327" s="14" t="n">
        <v>864</v>
      </c>
      <c r="I327" s="14" t="n">
        <v>1080</v>
      </c>
      <c r="J327" s="14" t="str">
        <f aca="false">IF(E327&lt;=100000,"Sim","Não")</f>
        <v>Sim</v>
      </c>
    </row>
    <row r="328" customFormat="false" ht="15" hidden="false" customHeight="false" outlineLevel="0" collapsed="false">
      <c r="A328" s="14" t="s">
        <v>383</v>
      </c>
      <c r="B328" s="14" t="s">
        <v>43</v>
      </c>
      <c r="C328" s="14" t="s">
        <v>44</v>
      </c>
      <c r="D328" s="15" t="n">
        <v>155346</v>
      </c>
      <c r="E328" s="15" t="n">
        <v>76046</v>
      </c>
      <c r="F328" s="16" t="n">
        <f aca="false">1-E328/D328</f>
        <v>0.51047339487338</v>
      </c>
      <c r="G328" s="14" t="n">
        <v>84</v>
      </c>
      <c r="H328" s="14" t="n">
        <v>721</v>
      </c>
      <c r="I328" s="14" t="n">
        <v>1080</v>
      </c>
      <c r="J328" s="14" t="str">
        <f aca="false">IF(E328&lt;=100000,"Sim","Não")</f>
        <v>Sim</v>
      </c>
    </row>
    <row r="329" customFormat="false" ht="15" hidden="false" customHeight="false" outlineLevel="0" collapsed="false">
      <c r="A329" s="14" t="s">
        <v>384</v>
      </c>
      <c r="B329" s="14" t="s">
        <v>43</v>
      </c>
      <c r="C329" s="14" t="s">
        <v>44</v>
      </c>
      <c r="D329" s="15" t="n">
        <v>222037</v>
      </c>
      <c r="E329" s="15" t="n">
        <v>95112</v>
      </c>
      <c r="F329" s="16" t="n">
        <f aca="false">1-E329/D329</f>
        <v>0.571638961074055</v>
      </c>
      <c r="G329" s="14" t="n">
        <v>80</v>
      </c>
      <c r="H329" s="14" t="n">
        <v>721</v>
      </c>
      <c r="I329" s="14" t="n">
        <v>1080</v>
      </c>
      <c r="J329" s="14" t="str">
        <f aca="false">IF(E329&lt;=100000,"Sim","Não")</f>
        <v>Sim</v>
      </c>
    </row>
    <row r="330" customFormat="false" ht="15" hidden="false" customHeight="false" outlineLevel="0" collapsed="false">
      <c r="A330" s="14" t="s">
        <v>385</v>
      </c>
      <c r="B330" s="14" t="s">
        <v>43</v>
      </c>
      <c r="C330" s="14" t="s">
        <v>44</v>
      </c>
      <c r="D330" s="15" t="n">
        <v>128987</v>
      </c>
      <c r="E330" s="15" t="n">
        <v>53782</v>
      </c>
      <c r="F330" s="16" t="n">
        <f aca="false">1-E330/D330</f>
        <v>0.583043252420787</v>
      </c>
      <c r="G330" s="14" t="n">
        <v>84</v>
      </c>
      <c r="H330" s="14" t="n">
        <v>721</v>
      </c>
      <c r="I330" s="14" t="n">
        <v>1080</v>
      </c>
      <c r="J330" s="14" t="str">
        <f aca="false">IF(E330&lt;=100000,"Sim","Não")</f>
        <v>Sim</v>
      </c>
    </row>
    <row r="331" customFormat="false" ht="15" hidden="false" customHeight="false" outlineLevel="0" collapsed="false">
      <c r="A331" s="14" t="s">
        <v>386</v>
      </c>
      <c r="B331" s="14" t="s">
        <v>43</v>
      </c>
      <c r="C331" s="14" t="s">
        <v>44</v>
      </c>
      <c r="D331" s="15" t="n">
        <v>177499</v>
      </c>
      <c r="E331" s="15" t="n">
        <v>91640</v>
      </c>
      <c r="F331" s="16" t="n">
        <f aca="false">1-E331/D331</f>
        <v>0.483715401213528</v>
      </c>
      <c r="G331" s="14" t="n">
        <v>84</v>
      </c>
      <c r="H331" s="14" t="n">
        <v>721</v>
      </c>
      <c r="I331" s="14" t="n">
        <v>1080</v>
      </c>
      <c r="J331" s="14" t="str">
        <f aca="false">IF(E331&lt;=100000,"Sim","Não")</f>
        <v>Sim</v>
      </c>
    </row>
    <row r="332" customFormat="false" ht="15" hidden="false" customHeight="false" outlineLevel="0" collapsed="false">
      <c r="A332" s="14" t="s">
        <v>387</v>
      </c>
      <c r="B332" s="14" t="s">
        <v>43</v>
      </c>
      <c r="C332" s="14" t="s">
        <v>44</v>
      </c>
      <c r="D332" s="15" t="n">
        <v>237965</v>
      </c>
      <c r="E332" s="15" t="n">
        <v>86864</v>
      </c>
      <c r="F332" s="16" t="n">
        <f aca="false">1-E332/D332</f>
        <v>0.634971529426596</v>
      </c>
      <c r="G332" s="14" t="n">
        <v>76</v>
      </c>
      <c r="H332" s="14" t="n">
        <v>720</v>
      </c>
      <c r="I332" s="14" t="n">
        <v>1080</v>
      </c>
      <c r="J332" s="14" t="str">
        <f aca="false">IF(E332&lt;=100000,"Sim","Não")</f>
        <v>Sim</v>
      </c>
    </row>
    <row r="333" customFormat="false" ht="15" hidden="false" customHeight="false" outlineLevel="0" collapsed="false">
      <c r="A333" s="14" t="s">
        <v>388</v>
      </c>
      <c r="B333" s="14" t="s">
        <v>43</v>
      </c>
      <c r="C333" s="14" t="s">
        <v>44</v>
      </c>
      <c r="D333" s="15" t="n">
        <v>166252</v>
      </c>
      <c r="E333" s="15" t="n">
        <v>83472</v>
      </c>
      <c r="F333" s="16" t="n">
        <f aca="false">1-E333/D333</f>
        <v>0.497918822029209</v>
      </c>
      <c r="G333" s="14" t="n">
        <v>84</v>
      </c>
      <c r="H333" s="14" t="n">
        <v>721</v>
      </c>
      <c r="I333" s="14" t="n">
        <v>1080</v>
      </c>
      <c r="J333" s="14" t="str">
        <f aca="false">IF(E333&lt;=100000,"Sim","Não")</f>
        <v>Sim</v>
      </c>
    </row>
    <row r="334" customFormat="false" ht="15" hidden="false" customHeight="false" outlineLevel="0" collapsed="false">
      <c r="A334" s="14" t="s">
        <v>389</v>
      </c>
      <c r="B334" s="14" t="s">
        <v>43</v>
      </c>
      <c r="C334" s="14" t="s">
        <v>44</v>
      </c>
      <c r="D334" s="15" t="n">
        <v>303395</v>
      </c>
      <c r="E334" s="15" t="n">
        <v>94128</v>
      </c>
      <c r="F334" s="16" t="n">
        <f aca="false">1-E334/D334</f>
        <v>0.689750984689926</v>
      </c>
      <c r="G334" s="14" t="n">
        <v>68</v>
      </c>
      <c r="H334" s="14" t="n">
        <v>801</v>
      </c>
      <c r="I334" s="14" t="n">
        <v>1000</v>
      </c>
      <c r="J334" s="14" t="str">
        <f aca="false">IF(E334&lt;=100000,"Sim","Não")</f>
        <v>Sim</v>
      </c>
    </row>
    <row r="335" customFormat="false" ht="15" hidden="false" customHeight="false" outlineLevel="0" collapsed="false">
      <c r="A335" s="14" t="s">
        <v>390</v>
      </c>
      <c r="B335" s="14" t="s">
        <v>43</v>
      </c>
      <c r="C335" s="14" t="s">
        <v>44</v>
      </c>
      <c r="D335" s="15" t="n">
        <v>281890</v>
      </c>
      <c r="E335" s="15" t="n">
        <v>95094</v>
      </c>
      <c r="F335" s="16" t="n">
        <f aca="false">1-E335/D335</f>
        <v>0.662655645819291</v>
      </c>
      <c r="G335" s="14" t="n">
        <v>68</v>
      </c>
      <c r="H335" s="14" t="n">
        <v>914</v>
      </c>
      <c r="I335" s="14" t="n">
        <v>1080</v>
      </c>
      <c r="J335" s="14" t="str">
        <f aca="false">IF(E335&lt;=100000,"Sim","Não")</f>
        <v>Sim</v>
      </c>
    </row>
    <row r="336" customFormat="false" ht="15" hidden="false" customHeight="false" outlineLevel="0" collapsed="false">
      <c r="A336" s="14" t="s">
        <v>391</v>
      </c>
      <c r="B336" s="14" t="s">
        <v>43</v>
      </c>
      <c r="C336" s="14" t="s">
        <v>44</v>
      </c>
      <c r="D336" s="15" t="n">
        <v>194468</v>
      </c>
      <c r="E336" s="15" t="n">
        <v>92710</v>
      </c>
      <c r="F336" s="16" t="n">
        <f aca="false">1-E336/D336</f>
        <v>0.523263467511364</v>
      </c>
      <c r="G336" s="14" t="n">
        <v>80</v>
      </c>
      <c r="H336" s="14" t="n">
        <v>655</v>
      </c>
      <c r="I336" s="14" t="n">
        <v>1080</v>
      </c>
      <c r="J336" s="14" t="str">
        <f aca="false">IF(E336&lt;=100000,"Sim","Não")</f>
        <v>Sim</v>
      </c>
    </row>
    <row r="337" customFormat="false" ht="15" hidden="false" customHeight="false" outlineLevel="0" collapsed="false">
      <c r="A337" s="14" t="s">
        <v>392</v>
      </c>
      <c r="B337" s="14" t="s">
        <v>43</v>
      </c>
      <c r="C337" s="14" t="s">
        <v>44</v>
      </c>
      <c r="D337" s="15" t="n">
        <v>288487</v>
      </c>
      <c r="E337" s="15" t="n">
        <v>93744</v>
      </c>
      <c r="F337" s="16" t="n">
        <f aca="false">1-E337/D337</f>
        <v>0.675049482299029</v>
      </c>
      <c r="G337" s="14" t="n">
        <v>64</v>
      </c>
      <c r="H337" s="14" t="n">
        <v>1000</v>
      </c>
      <c r="I337" s="14" t="n">
        <v>665</v>
      </c>
      <c r="J337" s="14" t="str">
        <f aca="false">IF(E337&lt;=100000,"Sim","Não")</f>
        <v>Sim</v>
      </c>
    </row>
    <row r="338" customFormat="false" ht="15" hidden="false" customHeight="false" outlineLevel="0" collapsed="false">
      <c r="A338" s="14" t="s">
        <v>393</v>
      </c>
      <c r="B338" s="14" t="s">
        <v>43</v>
      </c>
      <c r="C338" s="14" t="s">
        <v>44</v>
      </c>
      <c r="D338" s="15" t="n">
        <v>164182</v>
      </c>
      <c r="E338" s="15" t="n">
        <v>81094</v>
      </c>
      <c r="F338" s="16" t="n">
        <f aca="false">1-E338/D338</f>
        <v>0.506072529266302</v>
      </c>
      <c r="G338" s="14" t="n">
        <v>84</v>
      </c>
      <c r="H338" s="14" t="n">
        <v>1080</v>
      </c>
      <c r="I338" s="14" t="n">
        <v>721</v>
      </c>
      <c r="J338" s="14" t="str">
        <f aca="false">IF(E338&lt;=100000,"Sim","Não")</f>
        <v>Sim</v>
      </c>
    </row>
    <row r="339" customFormat="false" ht="15" hidden="false" customHeight="false" outlineLevel="0" collapsed="false">
      <c r="A339" s="14" t="s">
        <v>394</v>
      </c>
      <c r="B339" s="14" t="s">
        <v>43</v>
      </c>
      <c r="C339" s="14" t="s">
        <v>44</v>
      </c>
      <c r="D339" s="15" t="n">
        <v>281615</v>
      </c>
      <c r="E339" s="15" t="n">
        <v>96864</v>
      </c>
      <c r="F339" s="16" t="n">
        <f aca="false">1-E339/D339</f>
        <v>0.656041048949807</v>
      </c>
      <c r="G339" s="14" t="n">
        <v>72</v>
      </c>
      <c r="H339" s="14" t="n">
        <v>706</v>
      </c>
      <c r="I339" s="14" t="n">
        <v>920</v>
      </c>
      <c r="J339" s="14" t="str">
        <f aca="false">IF(E339&lt;=100000,"Sim","Não")</f>
        <v>Sim</v>
      </c>
    </row>
    <row r="340" customFormat="false" ht="15" hidden="false" customHeight="false" outlineLevel="0" collapsed="false">
      <c r="A340" s="14" t="s">
        <v>395</v>
      </c>
      <c r="B340" s="14" t="s">
        <v>43</v>
      </c>
      <c r="C340" s="14" t="s">
        <v>44</v>
      </c>
      <c r="D340" s="15" t="n">
        <v>269285</v>
      </c>
      <c r="E340" s="15" t="n">
        <v>95656</v>
      </c>
      <c r="F340" s="16" t="n">
        <f aca="false">1-E340/D340</f>
        <v>0.644777837606996</v>
      </c>
      <c r="G340" s="14" t="n">
        <v>64</v>
      </c>
      <c r="H340" s="14" t="n">
        <v>1080</v>
      </c>
      <c r="I340" s="14" t="n">
        <v>1080</v>
      </c>
      <c r="J340" s="14" t="str">
        <f aca="false">IF(E340&lt;=100000,"Sim","Não")</f>
        <v>Sim</v>
      </c>
    </row>
    <row r="341" customFormat="false" ht="15" hidden="false" customHeight="false" outlineLevel="0" collapsed="false">
      <c r="A341" s="14" t="s">
        <v>396</v>
      </c>
      <c r="B341" s="14" t="s">
        <v>43</v>
      </c>
      <c r="C341" s="14" t="s">
        <v>44</v>
      </c>
      <c r="D341" s="15" t="n">
        <v>227670</v>
      </c>
      <c r="E341" s="15" t="n">
        <v>95554</v>
      </c>
      <c r="F341" s="16" t="n">
        <f aca="false">1-E341/D341</f>
        <v>0.580296042517679</v>
      </c>
      <c r="G341" s="14" t="n">
        <v>64</v>
      </c>
      <c r="H341" s="14" t="n">
        <v>806</v>
      </c>
      <c r="I341" s="14" t="n">
        <v>1000</v>
      </c>
      <c r="J341" s="14" t="str">
        <f aca="false">IF(E341&lt;=100000,"Sim","Não")</f>
        <v>Sim</v>
      </c>
    </row>
    <row r="342" customFormat="false" ht="15" hidden="false" customHeight="false" outlineLevel="0" collapsed="false">
      <c r="A342" s="14" t="s">
        <v>397</v>
      </c>
      <c r="B342" s="14" t="s">
        <v>43</v>
      </c>
      <c r="C342" s="14" t="s">
        <v>44</v>
      </c>
      <c r="D342" s="15" t="n">
        <v>189218</v>
      </c>
      <c r="E342" s="15" t="n">
        <v>95146</v>
      </c>
      <c r="F342" s="16" t="n">
        <f aca="false">1-E342/D342</f>
        <v>0.497162003614878</v>
      </c>
      <c r="G342" s="14" t="n">
        <v>84</v>
      </c>
      <c r="H342" s="14" t="n">
        <v>810</v>
      </c>
      <c r="I342" s="14" t="n">
        <v>1080</v>
      </c>
      <c r="J342" s="14" t="str">
        <f aca="false">IF(E342&lt;=100000,"Sim","Não")</f>
        <v>Sim</v>
      </c>
    </row>
    <row r="343" customFormat="false" ht="15" hidden="false" customHeight="false" outlineLevel="0" collapsed="false">
      <c r="A343" s="14" t="s">
        <v>398</v>
      </c>
      <c r="B343" s="14" t="s">
        <v>43</v>
      </c>
      <c r="C343" s="14" t="s">
        <v>44</v>
      </c>
      <c r="D343" s="15" t="n">
        <v>181354</v>
      </c>
      <c r="E343" s="15" t="n">
        <v>83510</v>
      </c>
      <c r="F343" s="16" t="n">
        <f aca="false">1-E343/D343</f>
        <v>0.539519393010356</v>
      </c>
      <c r="G343" s="14" t="n">
        <v>80</v>
      </c>
      <c r="H343" s="14" t="n">
        <v>721</v>
      </c>
      <c r="I343" s="14" t="n">
        <v>1080</v>
      </c>
      <c r="J343" s="14" t="str">
        <f aca="false">IF(E343&lt;=100000,"Sim","Não")</f>
        <v>Sim</v>
      </c>
    </row>
    <row r="344" customFormat="false" ht="15" hidden="false" customHeight="false" outlineLevel="0" collapsed="false">
      <c r="A344" s="14" t="s">
        <v>399</v>
      </c>
      <c r="B344" s="14" t="s">
        <v>43</v>
      </c>
      <c r="C344" s="14" t="s">
        <v>44</v>
      </c>
      <c r="D344" s="15" t="n">
        <v>211403</v>
      </c>
      <c r="E344" s="15" t="n">
        <v>92602</v>
      </c>
      <c r="F344" s="16" t="n">
        <f aca="false">1-E344/D344</f>
        <v>0.561964588960422</v>
      </c>
      <c r="G344" s="14" t="n">
        <v>80</v>
      </c>
      <c r="H344" s="14" t="n">
        <v>864</v>
      </c>
      <c r="I344" s="14" t="n">
        <v>1080</v>
      </c>
      <c r="J344" s="14" t="str">
        <f aca="false">IF(E344&lt;=100000,"Sim","Não")</f>
        <v>Sim</v>
      </c>
    </row>
    <row r="345" customFormat="false" ht="15" hidden="false" customHeight="false" outlineLevel="0" collapsed="false">
      <c r="A345" s="14" t="s">
        <v>400</v>
      </c>
      <c r="B345" s="14" t="s">
        <v>43</v>
      </c>
      <c r="C345" s="14" t="s">
        <v>44</v>
      </c>
      <c r="D345" s="15" t="n">
        <v>162756</v>
      </c>
      <c r="E345" s="15" t="n">
        <v>73524</v>
      </c>
      <c r="F345" s="16" t="n">
        <f aca="false">1-E345/D345</f>
        <v>0.548256285482563</v>
      </c>
      <c r="G345" s="14" t="n">
        <v>84</v>
      </c>
      <c r="H345" s="14" t="n">
        <v>864</v>
      </c>
      <c r="I345" s="14" t="n">
        <v>1080</v>
      </c>
      <c r="J345" s="14" t="str">
        <f aca="false">IF(E345&lt;=100000,"Sim","Não")</f>
        <v>Sim</v>
      </c>
    </row>
    <row r="346" customFormat="false" ht="15" hidden="false" customHeight="false" outlineLevel="0" collapsed="false">
      <c r="A346" s="14" t="s">
        <v>401</v>
      </c>
      <c r="B346" s="14" t="s">
        <v>43</v>
      </c>
      <c r="C346" s="14" t="s">
        <v>44</v>
      </c>
      <c r="D346" s="15" t="n">
        <v>205782</v>
      </c>
      <c r="E346" s="15" t="n">
        <v>93534</v>
      </c>
      <c r="F346" s="16" t="n">
        <f aca="false">1-E346/D346</f>
        <v>0.545470449310435</v>
      </c>
      <c r="G346" s="14" t="n">
        <v>80</v>
      </c>
      <c r="H346" s="14" t="n">
        <v>720</v>
      </c>
      <c r="I346" s="14" t="n">
        <v>1080</v>
      </c>
      <c r="J346" s="14" t="str">
        <f aca="false">IF(E346&lt;=100000,"Sim","Não")</f>
        <v>Sim</v>
      </c>
    </row>
    <row r="347" customFormat="false" ht="15" hidden="false" customHeight="false" outlineLevel="0" collapsed="false">
      <c r="A347" s="14" t="s">
        <v>402</v>
      </c>
      <c r="B347" s="14" t="s">
        <v>43</v>
      </c>
      <c r="C347" s="14" t="s">
        <v>44</v>
      </c>
      <c r="D347" s="15" t="n">
        <v>227197</v>
      </c>
      <c r="E347" s="15" t="n">
        <v>94576</v>
      </c>
      <c r="F347" s="16" t="n">
        <f aca="false">1-E347/D347</f>
        <v>0.583726897802348</v>
      </c>
      <c r="G347" s="14" t="n">
        <v>80</v>
      </c>
      <c r="H347" s="14" t="n">
        <v>870</v>
      </c>
      <c r="I347" s="14" t="n">
        <v>1080</v>
      </c>
      <c r="J347" s="14" t="str">
        <f aca="false">IF(E347&lt;=100000,"Sim","Não")</f>
        <v>Sim</v>
      </c>
    </row>
    <row r="348" customFormat="false" ht="15" hidden="false" customHeight="false" outlineLevel="0" collapsed="false">
      <c r="A348" s="14" t="s">
        <v>403</v>
      </c>
      <c r="B348" s="14" t="s">
        <v>43</v>
      </c>
      <c r="C348" s="14" t="s">
        <v>44</v>
      </c>
      <c r="D348" s="15" t="n">
        <v>184242</v>
      </c>
      <c r="E348" s="15" t="n">
        <v>89368</v>
      </c>
      <c r="F348" s="16" t="n">
        <f aca="false">1-E348/D348</f>
        <v>0.514942304143464</v>
      </c>
      <c r="G348" s="14" t="n">
        <v>84</v>
      </c>
      <c r="H348" s="14" t="n">
        <v>864</v>
      </c>
      <c r="I348" s="14" t="n">
        <v>1080</v>
      </c>
      <c r="J348" s="14" t="str">
        <f aca="false">IF(E348&lt;=100000,"Sim","Não")</f>
        <v>Sim</v>
      </c>
    </row>
    <row r="349" customFormat="false" ht="15" hidden="false" customHeight="false" outlineLevel="0" collapsed="false">
      <c r="A349" s="14" t="s">
        <v>404</v>
      </c>
      <c r="B349" s="14" t="s">
        <v>43</v>
      </c>
      <c r="C349" s="14" t="s">
        <v>44</v>
      </c>
      <c r="D349" s="15" t="n">
        <v>58584</v>
      </c>
      <c r="E349" s="15" t="n">
        <v>40516</v>
      </c>
      <c r="F349" s="16" t="n">
        <f aca="false">1-E349/D349</f>
        <v>0.308411853065683</v>
      </c>
      <c r="G349" s="14" t="n">
        <v>84</v>
      </c>
      <c r="H349" s="14" t="n">
        <v>474</v>
      </c>
      <c r="I349" s="14" t="n">
        <v>710</v>
      </c>
      <c r="J349" s="14" t="str">
        <f aca="false">IF(E349&lt;=100000,"Sim","Não")</f>
        <v>Sim</v>
      </c>
    </row>
    <row r="350" customFormat="false" ht="15" hidden="false" customHeight="false" outlineLevel="0" collapsed="false">
      <c r="A350" s="14" t="s">
        <v>405</v>
      </c>
      <c r="B350" s="14" t="s">
        <v>43</v>
      </c>
      <c r="C350" s="14" t="s">
        <v>44</v>
      </c>
      <c r="D350" s="15" t="n">
        <v>107379</v>
      </c>
      <c r="E350" s="15" t="n">
        <v>79344</v>
      </c>
      <c r="F350" s="16" t="n">
        <f aca="false">1-E350/D350</f>
        <v>0.261084569608583</v>
      </c>
      <c r="G350" s="14" t="n">
        <v>84</v>
      </c>
      <c r="H350" s="14" t="n">
        <v>644</v>
      </c>
      <c r="I350" s="14" t="n">
        <v>813</v>
      </c>
      <c r="J350" s="14" t="str">
        <f aca="false">IF(E350&lt;=100000,"Sim","Não")</f>
        <v>Sim</v>
      </c>
    </row>
    <row r="351" customFormat="false" ht="15" hidden="false" customHeight="false" outlineLevel="0" collapsed="false">
      <c r="A351" s="14" t="s">
        <v>406</v>
      </c>
      <c r="B351" s="14" t="s">
        <v>43</v>
      </c>
      <c r="C351" s="14" t="s">
        <v>44</v>
      </c>
      <c r="D351" s="15" t="n">
        <v>95025</v>
      </c>
      <c r="E351" s="15" t="n">
        <v>81006</v>
      </c>
      <c r="F351" s="16" t="n">
        <f aca="false">1-E351/D351</f>
        <v>0.147529597474349</v>
      </c>
      <c r="G351" s="14" t="n">
        <v>84</v>
      </c>
      <c r="H351" s="14" t="n">
        <v>735</v>
      </c>
      <c r="I351" s="14" t="n">
        <v>741</v>
      </c>
      <c r="J351" s="14" t="str">
        <f aca="false">IF(E351&lt;=100000,"Sim","Não")</f>
        <v>Sim</v>
      </c>
    </row>
    <row r="352" customFormat="false" ht="15" hidden="false" customHeight="false" outlineLevel="0" collapsed="false">
      <c r="A352" s="14" t="s">
        <v>407</v>
      </c>
      <c r="B352" s="14" t="s">
        <v>43</v>
      </c>
      <c r="C352" s="14" t="s">
        <v>44</v>
      </c>
      <c r="D352" s="15" t="n">
        <v>62647</v>
      </c>
      <c r="E352" s="15" t="n">
        <v>37774</v>
      </c>
      <c r="F352" s="16" t="n">
        <f aca="false">1-E352/D352</f>
        <v>0.397034175618944</v>
      </c>
      <c r="G352" s="14" t="n">
        <v>84</v>
      </c>
      <c r="H352" s="14" t="n">
        <v>735</v>
      </c>
      <c r="I352" s="14" t="n">
        <v>797</v>
      </c>
      <c r="J352" s="14" t="str">
        <f aca="false">IF(E352&lt;=100000,"Sim","Não")</f>
        <v>Sim</v>
      </c>
    </row>
    <row r="353" customFormat="false" ht="15" hidden="false" customHeight="false" outlineLevel="0" collapsed="false">
      <c r="A353" s="14" t="s">
        <v>408</v>
      </c>
      <c r="B353" s="14" t="s">
        <v>43</v>
      </c>
      <c r="C353" s="14" t="s">
        <v>44</v>
      </c>
      <c r="D353" s="15" t="n">
        <v>49364</v>
      </c>
      <c r="E353" s="15" t="n">
        <v>23918</v>
      </c>
      <c r="F353" s="16" t="n">
        <f aca="false">1-E353/D353</f>
        <v>0.515476865732113</v>
      </c>
      <c r="G353" s="14" t="n">
        <v>84</v>
      </c>
      <c r="H353" s="14" t="n">
        <v>736</v>
      </c>
      <c r="I353" s="14" t="n">
        <v>736</v>
      </c>
      <c r="J353" s="14" t="str">
        <f aca="false">IF(E353&lt;=100000,"Sim","Não")</f>
        <v>Sim</v>
      </c>
    </row>
    <row r="354" customFormat="false" ht="15" hidden="false" customHeight="false" outlineLevel="0" collapsed="false">
      <c r="A354" s="14" t="s">
        <v>409</v>
      </c>
      <c r="B354" s="14" t="s">
        <v>43</v>
      </c>
      <c r="C354" s="14" t="s">
        <v>44</v>
      </c>
      <c r="D354" s="15" t="n">
        <v>173205</v>
      </c>
      <c r="E354" s="15" t="n">
        <v>85052</v>
      </c>
      <c r="F354" s="16" t="n">
        <f aca="false">1-E354/D354</f>
        <v>0.508951820097572</v>
      </c>
      <c r="G354" s="14" t="n">
        <v>80</v>
      </c>
      <c r="H354" s="14" t="n">
        <v>607</v>
      </c>
      <c r="I354" s="14" t="n">
        <v>1080</v>
      </c>
      <c r="J354" s="14" t="str">
        <f aca="false">IF(E354&lt;=100000,"Sim","Não")</f>
        <v>Sim</v>
      </c>
    </row>
    <row r="355" customFormat="false" ht="15" hidden="false" customHeight="false" outlineLevel="0" collapsed="false">
      <c r="A355" s="14" t="s">
        <v>410</v>
      </c>
      <c r="B355" s="14" t="s">
        <v>43</v>
      </c>
      <c r="C355" s="14" t="s">
        <v>44</v>
      </c>
      <c r="D355" s="15" t="n">
        <v>124553</v>
      </c>
      <c r="E355" s="15" t="n">
        <v>84368</v>
      </c>
      <c r="F355" s="16" t="n">
        <f aca="false">1-E355/D355</f>
        <v>0.322633738247975</v>
      </c>
      <c r="G355" s="14" t="n">
        <v>84</v>
      </c>
      <c r="H355" s="14" t="n">
        <v>736</v>
      </c>
      <c r="I355" s="14" t="n">
        <v>981</v>
      </c>
      <c r="J355" s="14" t="str">
        <f aca="false">IF(E355&lt;=100000,"Sim","Não")</f>
        <v>Sim</v>
      </c>
    </row>
    <row r="356" customFormat="false" ht="15" hidden="false" customHeight="false" outlineLevel="0" collapsed="false">
      <c r="A356" s="14" t="s">
        <v>411</v>
      </c>
      <c r="B356" s="14" t="s">
        <v>43</v>
      </c>
      <c r="C356" s="14" t="s">
        <v>44</v>
      </c>
      <c r="D356" s="15" t="n">
        <v>76972</v>
      </c>
      <c r="E356" s="15" t="n">
        <v>42968</v>
      </c>
      <c r="F356" s="16" t="n">
        <f aca="false">1-E356/D356</f>
        <v>0.441771033622616</v>
      </c>
      <c r="G356" s="14" t="n">
        <v>84</v>
      </c>
      <c r="H356" s="14" t="n">
        <v>736</v>
      </c>
      <c r="I356" s="14" t="n">
        <v>875</v>
      </c>
      <c r="J356" s="14" t="str">
        <f aca="false">IF(E356&lt;=100000,"Sim","Não")</f>
        <v>Sim</v>
      </c>
    </row>
    <row r="357" customFormat="false" ht="15" hidden="false" customHeight="false" outlineLevel="0" collapsed="false">
      <c r="A357" s="14" t="s">
        <v>412</v>
      </c>
      <c r="B357" s="14" t="s">
        <v>43</v>
      </c>
      <c r="C357" s="14" t="s">
        <v>44</v>
      </c>
      <c r="D357" s="15" t="n">
        <v>214151</v>
      </c>
      <c r="E357" s="15" t="n">
        <v>83332</v>
      </c>
      <c r="F357" s="16" t="n">
        <f aca="false">1-E357/D357</f>
        <v>0.610872701971973</v>
      </c>
      <c r="G357" s="14" t="n">
        <v>76</v>
      </c>
      <c r="H357" s="14" t="n">
        <v>869</v>
      </c>
      <c r="I357" s="14" t="n">
        <v>1080</v>
      </c>
      <c r="J357" s="14" t="str">
        <f aca="false">IF(E357&lt;=100000,"Sim","Não")</f>
        <v>Sim</v>
      </c>
    </row>
    <row r="358" customFormat="false" ht="15" hidden="false" customHeight="false" outlineLevel="0" collapsed="false">
      <c r="A358" s="14" t="s">
        <v>413</v>
      </c>
      <c r="B358" s="14" t="s">
        <v>43</v>
      </c>
      <c r="C358" s="14" t="s">
        <v>44</v>
      </c>
      <c r="D358" s="15" t="n">
        <v>101573</v>
      </c>
      <c r="E358" s="15" t="n">
        <v>84134</v>
      </c>
      <c r="F358" s="16" t="n">
        <f aca="false">1-E358/D358</f>
        <v>0.171689326888051</v>
      </c>
      <c r="G358" s="14" t="n">
        <v>84</v>
      </c>
      <c r="H358" s="14" t="n">
        <v>736</v>
      </c>
      <c r="I358" s="14" t="n">
        <v>920</v>
      </c>
      <c r="J358" s="14" t="str">
        <f aca="false">IF(E358&lt;=100000,"Sim","Não")</f>
        <v>Sim</v>
      </c>
    </row>
    <row r="359" customFormat="false" ht="15" hidden="false" customHeight="false" outlineLevel="0" collapsed="false">
      <c r="A359" s="14" t="s">
        <v>414</v>
      </c>
      <c r="B359" s="14" t="s">
        <v>43</v>
      </c>
      <c r="C359" s="14" t="s">
        <v>44</v>
      </c>
      <c r="D359" s="15" t="n">
        <v>107233</v>
      </c>
      <c r="E359" s="15" t="n">
        <v>76882</v>
      </c>
      <c r="F359" s="16" t="n">
        <f aca="false">1-E359/D359</f>
        <v>0.283037870804696</v>
      </c>
      <c r="G359" s="14" t="n">
        <v>84</v>
      </c>
      <c r="H359" s="14" t="n">
        <v>736</v>
      </c>
      <c r="I359" s="14" t="n">
        <v>971</v>
      </c>
      <c r="J359" s="14" t="str">
        <f aca="false">IF(E359&lt;=100000,"Sim","Não")</f>
        <v>Sim</v>
      </c>
    </row>
  </sheetData>
  <autoFilter ref="A1:J3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62"/>
  </cols>
  <sheetData>
    <row r="1" customFormat="false" ht="15" hidden="false" customHeight="false" outlineLevel="0" collapsed="false">
      <c r="A1" s="5" t="s">
        <v>415</v>
      </c>
      <c r="B1" s="5" t="s">
        <v>416</v>
      </c>
      <c r="C1" s="5" t="s">
        <v>417</v>
      </c>
    </row>
    <row r="2" customFormat="false" ht="15" hidden="false" customHeight="false" outlineLevel="0" collapsed="false">
      <c r="A2" s="17" t="s">
        <v>418</v>
      </c>
      <c r="B2" s="17" t="s">
        <v>419</v>
      </c>
      <c r="C2" s="17" t="s">
        <v>420</v>
      </c>
    </row>
    <row r="3" customFormat="false" ht="15" hidden="false" customHeight="false" outlineLevel="0" collapsed="false">
      <c r="A3" s="17" t="s">
        <v>421</v>
      </c>
      <c r="B3" s="17" t="s">
        <v>422</v>
      </c>
      <c r="C3" s="17" t="s">
        <v>423</v>
      </c>
    </row>
    <row r="4" customFormat="false" ht="23.85" hidden="false" customHeight="false" outlineLevel="0" collapsed="false">
      <c r="A4" s="17" t="s">
        <v>424</v>
      </c>
      <c r="B4" s="17" t="s">
        <v>425</v>
      </c>
      <c r="C4" s="17" t="s">
        <v>426</v>
      </c>
    </row>
    <row r="5" customFormat="false" ht="23.85" hidden="false" customHeight="false" outlineLevel="0" collapsed="false">
      <c r="A5" s="17" t="s">
        <v>427</v>
      </c>
      <c r="B5" s="17" t="s">
        <v>428</v>
      </c>
      <c r="C5" s="17" t="s">
        <v>429</v>
      </c>
    </row>
    <row r="6" customFormat="false" ht="15" hidden="false" customHeight="false" outlineLevel="0" collapsed="false">
      <c r="A6" s="17" t="s">
        <v>430</v>
      </c>
      <c r="B6" s="17" t="s">
        <v>431</v>
      </c>
      <c r="C6" s="17" t="s">
        <v>432</v>
      </c>
    </row>
    <row r="7" customFormat="false" ht="15" hidden="false" customHeight="false" outlineLevel="0" collapsed="false">
      <c r="A7" s="17" t="s">
        <v>433</v>
      </c>
      <c r="B7" s="17" t="s">
        <v>434</v>
      </c>
      <c r="C7" s="17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5" t="s">
        <v>436</v>
      </c>
      <c r="B1" s="5" t="s">
        <v>437</v>
      </c>
    </row>
    <row r="2" customFormat="false" ht="15" hidden="false" customHeight="false" outlineLevel="0" collapsed="false">
      <c r="A2" s="17" t="s">
        <v>438</v>
      </c>
      <c r="B2" s="17" t="s">
        <v>439</v>
      </c>
    </row>
    <row r="3" customFormat="false" ht="23.85" hidden="false" customHeight="false" outlineLevel="0" collapsed="false">
      <c r="A3" s="17" t="s">
        <v>440</v>
      </c>
      <c r="B3" s="17" t="s">
        <v>441</v>
      </c>
    </row>
    <row r="4" customFormat="false" ht="15" hidden="false" customHeight="false" outlineLevel="0" collapsed="false">
      <c r="A4" s="17" t="s">
        <v>442</v>
      </c>
      <c r="B4" s="17" t="s">
        <v>443</v>
      </c>
    </row>
    <row r="5" customFormat="false" ht="15" hidden="false" customHeight="false" outlineLevel="0" collapsed="false">
      <c r="A5" s="17" t="s">
        <v>444</v>
      </c>
      <c r="B5" s="17" t="s">
        <v>445</v>
      </c>
    </row>
    <row r="6" customFormat="false" ht="15" hidden="false" customHeight="false" outlineLevel="0" collapsed="false">
      <c r="A6" s="17" t="s">
        <v>446</v>
      </c>
      <c r="B6" s="17" t="s">
        <v>447</v>
      </c>
    </row>
    <row r="7" customFormat="false" ht="15" hidden="false" customHeight="false" outlineLevel="0" collapsed="false">
      <c r="A7" s="17" t="s">
        <v>448</v>
      </c>
      <c r="B7" s="17" t="s">
        <v>449</v>
      </c>
    </row>
    <row r="8" customFormat="false" ht="15" hidden="false" customHeight="false" outlineLevel="0" collapsed="false">
      <c r="A8" s="17" t="s">
        <v>450</v>
      </c>
      <c r="B8" s="17" t="s">
        <v>451</v>
      </c>
    </row>
    <row r="9" customFormat="false" ht="15" hidden="false" customHeight="false" outlineLevel="0" collapsed="false">
      <c r="A9" s="17" t="s">
        <v>452</v>
      </c>
      <c r="B9" s="17" t="s">
        <v>453</v>
      </c>
    </row>
    <row r="10" customFormat="false" ht="15" hidden="false" customHeight="false" outlineLevel="0" collapsed="false">
      <c r="A10" s="17" t="s">
        <v>454</v>
      </c>
      <c r="B10" s="17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2026-10-20T22:54:29Z</dcterms:created>
  <dc:creator>openpyxl</dc:creator>
  <dc:description/>
  <dc:language>en-US</dc:language>
  <cp:lastModifiedBy/>
  <dcterms:modified xsi:type="dcterms:W3CDTF">2026-10-20T22:54:30Z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